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giwara\OneDrive\One Piece of Java\Portfolio\RNPC-Inventory-and-KYC\"/>
    </mc:Choice>
  </mc:AlternateContent>
  <bookViews>
    <workbookView xWindow="0" yWindow="0" windowWidth="22020" windowHeight="12855" activeTab="8"/>
  </bookViews>
  <sheets>
    <sheet name="README" sheetId="1" r:id="rId1"/>
    <sheet name="1. CPU" sheetId="2" r:id="rId2"/>
    <sheet name="2. GPU" sheetId="3" r:id="rId3"/>
    <sheet name="3. Motherboard" sheetId="4" r:id="rId4"/>
    <sheet name="4. RAM" sheetId="5" r:id="rId5"/>
    <sheet name="5. Storage" sheetId="6" r:id="rId6"/>
    <sheet name="6. PSU" sheetId="7" r:id="rId7"/>
    <sheet name="7. Case" sheetId="8" r:id="rId8"/>
    <sheet name="8. CPU Cooler" sheetId="9" r:id="rId9"/>
    <sheet name="9. Summary" sheetId="10" r:id="rId10"/>
  </sheets>
  <definedNames>
    <definedName name="_xlnm._FilterDatabase" localSheetId="1" hidden="1">'1. CPU'!$A$1:$N$171</definedName>
    <definedName name="_xlnm._FilterDatabase" localSheetId="2" hidden="1">'2. GPU'!$A$1:$L$76</definedName>
    <definedName name="_xlnm._FilterDatabase" localSheetId="3" hidden="1">'3. Motherboard'!$A$1:$L$68</definedName>
    <definedName name="_xlnm._FilterDatabase" localSheetId="4" hidden="1">'4. RAM'!$A$1:$K$42</definedName>
    <definedName name="_xlnm._FilterDatabase" localSheetId="5" hidden="1">'5. Storage'!$A$1:$K$35</definedName>
    <definedName name="_xlnm._FilterDatabase" localSheetId="6" hidden="1">'6. PSU'!$A$1:$K$138</definedName>
    <definedName name="_xlnm._FilterDatabase" localSheetId="7" hidden="1">'7. Case'!$A$1:$M$67</definedName>
    <definedName name="_xlnm._FilterDatabase" localSheetId="8" hidden="1">'8. CPU Cooler'!$A$1:$I$35</definedName>
  </definedNames>
  <calcPr calcId="152511"/>
</workbook>
</file>

<file path=xl/calcChain.xml><?xml version="1.0" encoding="utf-8"?>
<calcChain xmlns="http://schemas.openxmlformats.org/spreadsheetml/2006/main">
  <c r="E31" i="10" l="1"/>
  <c r="E30" i="10"/>
  <c r="C30" i="10"/>
  <c r="E29" i="10"/>
  <c r="E28" i="10"/>
  <c r="C28" i="10"/>
  <c r="E27" i="10"/>
  <c r="E26" i="10"/>
  <c r="E25" i="10"/>
  <c r="E24" i="10"/>
  <c r="E23" i="10"/>
  <c r="E22" i="10"/>
  <c r="C22" i="10"/>
  <c r="E21" i="10"/>
  <c r="E20" i="10"/>
  <c r="E19" i="10"/>
  <c r="C19" i="10"/>
  <c r="E18" i="10"/>
  <c r="E17" i="10"/>
  <c r="C17" i="10"/>
  <c r="E16" i="10"/>
  <c r="E15" i="10"/>
  <c r="C15" i="10"/>
  <c r="E14" i="10"/>
  <c r="E13" i="10"/>
  <c r="E12" i="10"/>
  <c r="C12" i="10"/>
  <c r="E11" i="10"/>
  <c r="E10" i="10"/>
  <c r="E9" i="10"/>
  <c r="E8" i="10"/>
  <c r="E7" i="10"/>
  <c r="E6" i="10"/>
  <c r="E5" i="10"/>
  <c r="C5" i="10"/>
  <c r="C33" i="10" s="1"/>
</calcChain>
</file>

<file path=xl/sharedStrings.xml><?xml version="1.0" encoding="utf-8"?>
<sst xmlns="http://schemas.openxmlformats.org/spreadsheetml/2006/main" count="5423" uniqueCount="1475">
  <si>
    <t>PC Components Reference Workbook</t>
  </si>
  <si>
    <t>Brand</t>
  </si>
  <si>
    <t>Built for RN IT Solutions - build planning, quoting and compatibility checks</t>
  </si>
  <si>
    <t>Generation / Family</t>
  </si>
  <si>
    <t>Model</t>
  </si>
  <si>
    <t>Codename</t>
  </si>
  <si>
    <t>Socket</t>
  </si>
  <si>
    <t>Cores</t>
  </si>
  <si>
    <t>Threads</t>
  </si>
  <si>
    <t>Base Clock (GHz)</t>
  </si>
  <si>
    <t>Boost Clock (GHz)</t>
  </si>
  <si>
    <t>L3 Cache (MB)</t>
  </si>
  <si>
    <t>SCOPE</t>
  </si>
  <si>
    <t>Base TDP (W)</t>
  </si>
  <si>
    <t>Integrated Graphics</t>
  </si>
  <si>
    <t>Memory Support</t>
  </si>
  <si>
    <t>Launch Year</t>
  </si>
  <si>
    <t>Intel</t>
  </si>
  <si>
    <t>CPU</t>
  </si>
  <si>
    <t>Intel 10th Gen (Comet Lake) through Core Ultra 200S (Arrow Lake). AMD AM4 (Ryzen 1000-5000, incl. APUs and X3D) and AM5 (Ryzen 7000/8000G/9000).</t>
  </si>
  <si>
    <t>GPU</t>
  </si>
  <si>
    <t>NVIDIA GTX 16 / RTX 20-50, AMD RX 5000-9000, Intel Arc A- and B-series.</t>
  </si>
  <si>
    <t>Motherboard</t>
  </si>
  <si>
    <t>10th Gen Core (Comet Lake-S)</t>
  </si>
  <si>
    <t>Representative boards per chipset: LGA1200, LGA1700, LGA1851, AM4, AM5.</t>
  </si>
  <si>
    <t>Core i3-10100</t>
  </si>
  <si>
    <t>Comet Lake-S</t>
  </si>
  <si>
    <t>LGA1200</t>
  </si>
  <si>
    <t>Brand (GPU)</t>
  </si>
  <si>
    <t>RAM</t>
  </si>
  <si>
    <t>DDR4 and DDR5 desktop UDIMM kits from the main memory brands.</t>
  </si>
  <si>
    <t>Storage</t>
  </si>
  <si>
    <t>NVMe (PCIe 3.0/4.0/5.0), SATA SSD, and 3.5" HDD lines.</t>
  </si>
  <si>
    <t>PSU</t>
  </si>
  <si>
    <t>500 W to 1000 W only, as requested. ATX, SFX and SFX-L units.</t>
  </si>
  <si>
    <t>Case</t>
  </si>
  <si>
    <t>Series</t>
  </si>
  <si>
    <t>Mid tower through full/super tower only, as requested.</t>
  </si>
  <si>
    <t>Chipset</t>
  </si>
  <si>
    <t>CPU Cooler</t>
  </si>
  <si>
    <t>Air towers and AIO liquid coolers, included as a bonus sheet.</t>
  </si>
  <si>
    <t>UHD Graphics 630</t>
  </si>
  <si>
    <t>Architecture</t>
  </si>
  <si>
    <t>CPU Platform</t>
  </si>
  <si>
    <t>DDR4-2666</t>
  </si>
  <si>
    <t>HOW TO USE</t>
  </si>
  <si>
    <t>VRAM</t>
  </si>
  <si>
    <t>Form Factor</t>
  </si>
  <si>
    <t>Memory Type</t>
  </si>
  <si>
    <t>Filtering</t>
  </si>
  <si>
    <t>Every sheet has AutoFilter on row 1 and a frozen header row. Click the arrow on any header to filter (e.g. Socket = AM4).</t>
  </si>
  <si>
    <t>Memory Bus</t>
  </si>
  <si>
    <t>RAM Slots</t>
  </si>
  <si>
    <t>Compatibility</t>
  </si>
  <si>
    <t>TDP (W)</t>
  </si>
  <si>
    <t>Match CPU 'Socket' to Motherboard 'Socket', then match 'Memory Type' between the CPU/board and the RAM sheet.</t>
  </si>
  <si>
    <t>Max RAM</t>
  </si>
  <si>
    <t>PSU sizing</t>
  </si>
  <si>
    <t>Recommended PSU (W)</t>
  </si>
  <si>
    <t>M.2 Slots</t>
  </si>
  <si>
    <t>The GPU sheet's 'Recommended PSU (W)' column is the card vendor's whole-system figure. Filter the PSU sheet at or above that number.</t>
  </si>
  <si>
    <t>Core i3-10100F</t>
  </si>
  <si>
    <t>Power Connector</t>
  </si>
  <si>
    <t>Case fitment</t>
  </si>
  <si>
    <t>PCIe Version (x16)</t>
  </si>
  <si>
    <t>Typical AIB Partners</t>
  </si>
  <si>
    <t>Check GPU length and cooler height against the case sheet's 'Max GPU Length' and 'Max CPU Cooler Height' columns.</t>
  </si>
  <si>
    <t>Notable Features</t>
  </si>
  <si>
    <t>NOTES AND CAVEATS</t>
  </si>
  <si>
    <t>Source</t>
  </si>
  <si>
    <t>Compiled from manufacturer specifications (Intel ARK, AMD, NVIDIA, and vendor product pages) as commonly aggregated on PCPartPicker. No live data was scraped; this is a static reference snapshot.</t>
  </si>
  <si>
    <t>NVIDIA</t>
  </si>
  <si>
    <t>ASUS</t>
  </si>
  <si>
    <t>No pricing</t>
  </si>
  <si>
    <t>Prices move constantly and vary by region, so no price column is included. Check PCPartPicker or PH retailers for current pricing.</t>
  </si>
  <si>
    <t>Accuracy</t>
  </si>
  <si>
    <t>GeForce GTX 16</t>
  </si>
  <si>
    <t>Clock speeds and TDP are stock manufacturer figures. Board partner (AIB) cards and factory-OC SKUs will differ. Case and PSU specs are for the base model; revisions vary.</t>
  </si>
  <si>
    <t>PRIME H510M-E</t>
  </si>
  <si>
    <t>GTX 1650</t>
  </si>
  <si>
    <t>Coverage</t>
  </si>
  <si>
    <t>H510</t>
  </si>
  <si>
    <t>Turing (TU117)</t>
  </si>
  <si>
    <t>Motherboard, RAM, storage, PSU, case and cooler sheets are representative of each brand's main lines, not an exhaustive SKU list. The CPU sheet is close to exhaustive for the ranges requested.</t>
  </si>
  <si>
    <t>None</t>
  </si>
  <si>
    <t>4 GB</t>
  </si>
  <si>
    <t>Currency</t>
  </si>
  <si>
    <t>Data reflects products released up to roughly mid-2026. Verify anything newer against the vendor's own page.</t>
  </si>
  <si>
    <t>GDDR5 / GDDR6</t>
  </si>
  <si>
    <t>Intel 10th/11th Gen</t>
  </si>
  <si>
    <t>Editing</t>
  </si>
  <si>
    <t>128-bit</t>
  </si>
  <si>
    <t>Micro-ATX</t>
  </si>
  <si>
    <t>Add your own rows at the bottom of any sheet, or add a 'Price (PHP)' or 'Local Supplier' column to the right - nothing here depends on a fixed column count.</t>
  </si>
  <si>
    <t>DDR4</t>
  </si>
  <si>
    <t>Core i3-10105</t>
  </si>
  <si>
    <t>64 GB</t>
  </si>
  <si>
    <t>None / 1x 6-pin</t>
  </si>
  <si>
    <t>ASUS, MSI, Gigabyte, Zotac, Palit, Colorful</t>
  </si>
  <si>
    <t>PCIe 4.0 (11th Gen)</t>
  </si>
  <si>
    <t>Entry office board, no OC</t>
  </si>
  <si>
    <t>Core i3-10105F</t>
  </si>
  <si>
    <t>TUF Gaming B560M-PLUS</t>
  </si>
  <si>
    <t>GTX 1650 SUPER</t>
  </si>
  <si>
    <t>B560</t>
  </si>
  <si>
    <t>Turing (TU116)</t>
  </si>
  <si>
    <t>GDDR6</t>
  </si>
  <si>
    <t>Core i3-10300</t>
  </si>
  <si>
    <t>1x 6-pin</t>
  </si>
  <si>
    <t>ASUS, MSI, Gigabyte, Zotac, Palit</t>
  </si>
  <si>
    <t>128 GB</t>
  </si>
  <si>
    <t>GTX 1660</t>
  </si>
  <si>
    <t>Memory OC, 2.5G LAN on some SKUs</t>
  </si>
  <si>
    <t>6 GB</t>
  </si>
  <si>
    <t>GDDR5</t>
  </si>
  <si>
    <t>192-bit</t>
  </si>
  <si>
    <t>ROG STRIX Z590-E Gaming WiFi</t>
  </si>
  <si>
    <t>Z590</t>
  </si>
  <si>
    <t>1x 8-pin</t>
  </si>
  <si>
    <t>ATX</t>
  </si>
  <si>
    <t>Core i3-10320</t>
  </si>
  <si>
    <t>GTX 1660 SUPER</t>
  </si>
  <si>
    <t>CPU OC, WiFi 6E, 2.5G LAN</t>
  </si>
  <si>
    <t>MSI</t>
  </si>
  <si>
    <t>H510M-A PRO</t>
  </si>
  <si>
    <t>Core i5-10400</t>
  </si>
  <si>
    <t>GTX 1660 Ti</t>
  </si>
  <si>
    <t>ASUS, MSI, Gigabyte, EVGA, Zotac</t>
  </si>
  <si>
    <t>GeForce RTX 20</t>
  </si>
  <si>
    <t>RTX 2060</t>
  </si>
  <si>
    <t>Turing (TU106)</t>
  </si>
  <si>
    <t>Budget build board</t>
  </si>
  <si>
    <t>Core i5-10400F</t>
  </si>
  <si>
    <t>MAG B560M MORTAR WIFI</t>
  </si>
  <si>
    <t>ASUS, MSI, Gigabyte, EVGA, Zotac, Palit</t>
  </si>
  <si>
    <t>RTX 2060 12GB</t>
  </si>
  <si>
    <t>12 GB</t>
  </si>
  <si>
    <t>WiFi 6, 2.5G LAN</t>
  </si>
  <si>
    <t>Core i5-10500</t>
  </si>
  <si>
    <t>MPG Z490 GAMING PLUS</t>
  </si>
  <si>
    <t>RTX 2060 SUPER</t>
  </si>
  <si>
    <t>Z490</t>
  </si>
  <si>
    <t>8 GB</t>
  </si>
  <si>
    <t>256-bit</t>
  </si>
  <si>
    <t>PCIe 3.0</t>
  </si>
  <si>
    <t>CPU OC, 2.5G LAN</t>
  </si>
  <si>
    <t>Core i5-10600</t>
  </si>
  <si>
    <t>RTX 2070</t>
  </si>
  <si>
    <t>Gigabyte</t>
  </si>
  <si>
    <t>H410M H V2</t>
  </si>
  <si>
    <t>H410</t>
  </si>
  <si>
    <t>Intel 10th Gen</t>
  </si>
  <si>
    <t>RTX 2070 SUPER</t>
  </si>
  <si>
    <t>Turing (TU104)</t>
  </si>
  <si>
    <t>Entry-level, 10th Gen only</t>
  </si>
  <si>
    <t>Core i5-10600K</t>
  </si>
  <si>
    <t>B560M DS3H</t>
  </si>
  <si>
    <t>1x 8-pin + 1x 6-pin</t>
  </si>
  <si>
    <t>RTX 2080</t>
  </si>
  <si>
    <t>Value mainstream board</t>
  </si>
  <si>
    <t>Core i5-10600KF</t>
  </si>
  <si>
    <t>Z590 AORUS ELITE AX</t>
  </si>
  <si>
    <t>RTX 2080 SUPER</t>
  </si>
  <si>
    <t>2x 8-pin</t>
  </si>
  <si>
    <t>RTX 2080 Ti</t>
  </si>
  <si>
    <t>CPU OC, WiFi 6, 2.5G LAN</t>
  </si>
  <si>
    <t>Turing (TU102)</t>
  </si>
  <si>
    <t>Core i7-10700</t>
  </si>
  <si>
    <t>11 GB</t>
  </si>
  <si>
    <t>ASRock</t>
  </si>
  <si>
    <t>B560M-HDV</t>
  </si>
  <si>
    <t>352-bit</t>
  </si>
  <si>
    <t>GeForce RTX 30</t>
  </si>
  <si>
    <t>DDR4-2933</t>
  </si>
  <si>
    <t>RTX 3050 8GB</t>
  </si>
  <si>
    <t>Ampere (GA106)</t>
  </si>
  <si>
    <t>Budget SI board</t>
  </si>
  <si>
    <t>PRIME H610M-E D4</t>
  </si>
  <si>
    <t>H610</t>
  </si>
  <si>
    <t>LGA1700</t>
  </si>
  <si>
    <t>Series / Model</t>
  </si>
  <si>
    <t>RTX 3050 6GB</t>
  </si>
  <si>
    <t>Intel 12th/13th/14th Gen</t>
  </si>
  <si>
    <t>Type</t>
  </si>
  <si>
    <t>Ampere (GA107)</t>
  </si>
  <si>
    <t>Kit Capacity</t>
  </si>
  <si>
    <t>Core i7-10700F</t>
  </si>
  <si>
    <t>Module Config</t>
  </si>
  <si>
    <t>96-bit</t>
  </si>
  <si>
    <t>Speed (MT/s)</t>
  </si>
  <si>
    <t>CAS Latency</t>
  </si>
  <si>
    <t>Voltage (V)</t>
  </si>
  <si>
    <t>Heatspreader</t>
  </si>
  <si>
    <t>RGB</t>
  </si>
  <si>
    <t>Typical Use</t>
  </si>
  <si>
    <t>Kingston</t>
  </si>
  <si>
    <t>RTX 3060 12GB</t>
  </si>
  <si>
    <t>Core i7-10700K</t>
  </si>
  <si>
    <t>FURY Beast DDR4</t>
  </si>
  <si>
    <t>1 x 8 GB</t>
  </si>
  <si>
    <t>CL16</t>
  </si>
  <si>
    <t>Yes</t>
  </si>
  <si>
    <t>PCIe 4.0</t>
  </si>
  <si>
    <t>No</t>
  </si>
  <si>
    <t>Budget builds / office upgrades</t>
  </si>
  <si>
    <t>Entry board, no OC</t>
  </si>
  <si>
    <t>RTX 3060 Ti</t>
  </si>
  <si>
    <t>PRIME B760M-A WIFI D4</t>
  </si>
  <si>
    <t>Ampere (GA104)</t>
  </si>
  <si>
    <t>B760</t>
  </si>
  <si>
    <t>Core i7-10700KF</t>
  </si>
  <si>
    <t>GDDR6 / GDDR6X</t>
  </si>
  <si>
    <t>16 GB</t>
  </si>
  <si>
    <t>2 x 8 GB</t>
  </si>
  <si>
    <t>1x 8-pin / 1x 12-pin</t>
  </si>
  <si>
    <t>Mainstream gaming</t>
  </si>
  <si>
    <t>RTX 3070</t>
  </si>
  <si>
    <t>FURY Beast DDR4 RGB</t>
  </si>
  <si>
    <t>WiFi 6, memory OC</t>
  </si>
  <si>
    <t>32 GB</t>
  </si>
  <si>
    <t>Core i9-10850K</t>
  </si>
  <si>
    <t>2 x 16 GB</t>
  </si>
  <si>
    <t>CL18</t>
  </si>
  <si>
    <t>TUF Gaming B760-PLUS WIFI</t>
  </si>
  <si>
    <t>Gaming / streaming</t>
  </si>
  <si>
    <t>FURY Renegade DDR4</t>
  </si>
  <si>
    <t>DDR5</t>
  </si>
  <si>
    <t>RTX 3070 Ti</t>
  </si>
  <si>
    <t>192 GB</t>
  </si>
  <si>
    <t>GDDR6X</t>
  </si>
  <si>
    <t>Core i9-10900</t>
  </si>
  <si>
    <t>Optional</t>
  </si>
  <si>
    <t>WiFi 6, 2.5G LAN, PCIe 4.0 M.2</t>
  </si>
  <si>
    <t>2x 8-pin / 1x 12-pin</t>
  </si>
  <si>
    <t>Enthusiast / OC</t>
  </si>
  <si>
    <t>ValueRAM</t>
  </si>
  <si>
    <t>ROG STRIX B660-A GAMING WIFI D4</t>
  </si>
  <si>
    <t>B660</t>
  </si>
  <si>
    <t>RTX 3080 10GB</t>
  </si>
  <si>
    <t>Ampere (GA102)</t>
  </si>
  <si>
    <t>10 GB</t>
  </si>
  <si>
    <t>CL19</t>
  </si>
  <si>
    <t>320-bit</t>
  </si>
  <si>
    <t>Office / SI builds</t>
  </si>
  <si>
    <t>Corsair</t>
  </si>
  <si>
    <t>Vengeance LPX</t>
  </si>
  <si>
    <t>Core i9-10900F</t>
  </si>
  <si>
    <t>PCIe 5.0</t>
  </si>
  <si>
    <t>PCIe 5.0 x16, WiFi 6</t>
  </si>
  <si>
    <t>RTX 3080 12GB</t>
  </si>
  <si>
    <t>Low-profile, air-cooler friendly</t>
  </si>
  <si>
    <t>ROG STRIX Z790-E GAMING WIFI II</t>
  </si>
  <si>
    <t>Z790</t>
  </si>
  <si>
    <t>384-bit</t>
  </si>
  <si>
    <t>Core i9-10900K</t>
  </si>
  <si>
    <t>RTX 3080 Ti</t>
  </si>
  <si>
    <t>Mainstream / workstation</t>
  </si>
  <si>
    <t>Vengeance RGB PRO</t>
  </si>
  <si>
    <t>CPU OC, WiFi 7, Thunderbolt 4</t>
  </si>
  <si>
    <t>ROG MAXIMUS Z790 HERO</t>
  </si>
  <si>
    <t>Show builds</t>
  </si>
  <si>
    <t>RTX 3090</t>
  </si>
  <si>
    <t>Dominator Platinum RGB</t>
  </si>
  <si>
    <t>24 GB</t>
  </si>
  <si>
    <t>Core i9-10900KF</t>
  </si>
  <si>
    <t>Premium enthusiast</t>
  </si>
  <si>
    <t>High-end VRM, Thunderbolt 4, WiFi 6E</t>
  </si>
  <si>
    <t>G.Skill</t>
  </si>
  <si>
    <t>Ripjaws V</t>
  </si>
  <si>
    <t>RTX 3090 Ti</t>
  </si>
  <si>
    <t>PRO H610M-G DDR4</t>
  </si>
  <si>
    <t>1x 16-pin (12VHPWR)</t>
  </si>
  <si>
    <t>11th Gen Core (Rocket Lake-S)</t>
  </si>
  <si>
    <t>Best-value mainstream kit</t>
  </si>
  <si>
    <t>Core i5-11400</t>
  </si>
  <si>
    <t>Rocket Lake-S</t>
  </si>
  <si>
    <t>GeForce RTX 40</t>
  </si>
  <si>
    <t>RTX 4060</t>
  </si>
  <si>
    <t>Ada Lovelace (AD107)</t>
  </si>
  <si>
    <t>Office / SI board</t>
  </si>
  <si>
    <t>Gaming / editing</t>
  </si>
  <si>
    <t>UHD Graphics 730</t>
  </si>
  <si>
    <t>ASUS, MSI, Gigabyte, Zotac, Palit, Inno3D</t>
  </si>
  <si>
    <t>PRO B760M-A WIFI DDR4</t>
  </si>
  <si>
    <t>DDR4-3200</t>
  </si>
  <si>
    <t>Trident Z Neo</t>
  </si>
  <si>
    <t>RTX 4060 Ti 8GB</t>
  </si>
  <si>
    <t>Ada Lovelace (AD106)</t>
  </si>
  <si>
    <t>Core i5-11400F</t>
  </si>
  <si>
    <t>1x 8-pin / 1x 16-pin</t>
  </si>
  <si>
    <t>Ryzen-optimised, Samsung B-die SKUs</t>
  </si>
  <si>
    <t>WiFi 6E, 2.5G LAN</t>
  </si>
  <si>
    <t>Trident Z RGB</t>
  </si>
  <si>
    <t>RTX 4060 Ti 16GB</t>
  </si>
  <si>
    <t>MAG B760 TOMAHAWK WIFI</t>
  </si>
  <si>
    <t>Gaming / RGB builds</t>
  </si>
  <si>
    <t>Crucial</t>
  </si>
  <si>
    <t>Ballistix</t>
  </si>
  <si>
    <t>Core i5-11500</t>
  </si>
  <si>
    <t>Discontinued but common in market</t>
  </si>
  <si>
    <t>Strong VRM, WiFi 6E, 2.5G LAN</t>
  </si>
  <si>
    <t>UHD Graphics 750</t>
  </si>
  <si>
    <t>RTX 4070</t>
  </si>
  <si>
    <t>Crucial DDR4 UDIMM</t>
  </si>
  <si>
    <t>Ada Lovelace (AD104)</t>
  </si>
  <si>
    <t>MPG Z790 EDGE WIFI</t>
  </si>
  <si>
    <t>CL22</t>
  </si>
  <si>
    <t>Core i5-11600</t>
  </si>
  <si>
    <t>OEM / laptop-style upgrade</t>
  </si>
  <si>
    <t>TeamGroup</t>
  </si>
  <si>
    <t>T-FORCE Vulcan Z</t>
  </si>
  <si>
    <t>RTX 4070 SUPER</t>
  </si>
  <si>
    <t>CPU OC, WiFi 6E, PCIe 5.0 M.2</t>
  </si>
  <si>
    <t>Budget gaming</t>
  </si>
  <si>
    <t>MEG Z790 ACE</t>
  </si>
  <si>
    <t>T-FORCE Delta RGB</t>
  </si>
  <si>
    <t>RTX 4070 Ti</t>
  </si>
  <si>
    <t>Core i5-11600K</t>
  </si>
  <si>
    <t>RGB builds</t>
  </si>
  <si>
    <t>Patriot</t>
  </si>
  <si>
    <t>Viper Steel</t>
  </si>
  <si>
    <t>RTX 4070 Ti SUPER</t>
  </si>
  <si>
    <t>Value enthusiast</t>
  </si>
  <si>
    <t>Ada Lovelace (AD103)</t>
  </si>
  <si>
    <t>E-ATX</t>
  </si>
  <si>
    <t>Viper Steel RGB</t>
  </si>
  <si>
    <t>CL20</t>
  </si>
  <si>
    <t>RGB gaming</t>
  </si>
  <si>
    <t>ADATA / XPG</t>
  </si>
  <si>
    <t>XPG GAMMIX D30</t>
  </si>
  <si>
    <t>RTX 4080</t>
  </si>
  <si>
    <t>Flagship VRM, Thunderbolt 4, 10G LAN</t>
  </si>
  <si>
    <t>XPG SPECTRIX D60G</t>
  </si>
  <si>
    <t>H610M H DDR4</t>
  </si>
  <si>
    <t>FURY Beast DDR5</t>
  </si>
  <si>
    <t>RTX 4080 SUPER</t>
  </si>
  <si>
    <t>Core i5-11600KF</t>
  </si>
  <si>
    <t>1 x 16 GB</t>
  </si>
  <si>
    <t>CL40</t>
  </si>
  <si>
    <t>Entry DDR5 / single-stick start</t>
  </si>
  <si>
    <t>CL36</t>
  </si>
  <si>
    <t>Entry build board</t>
  </si>
  <si>
    <t>RTX 4090</t>
  </si>
  <si>
    <t>AM5 / LGA1700 sweet spot</t>
  </si>
  <si>
    <t>B760M DS3H DDR4</t>
  </si>
  <si>
    <t>Ada Lovelace (AD102)</t>
  </si>
  <si>
    <t>FURY Beast DDR5 RGB</t>
  </si>
  <si>
    <t>Core i7-11700</t>
  </si>
  <si>
    <t>Gaming with RGB</t>
  </si>
  <si>
    <t>FURY Renegade DDR5</t>
  </si>
  <si>
    <t>B760 AORUS ELITE AX</t>
  </si>
  <si>
    <t>CL32</t>
  </si>
  <si>
    <t>GeForce RTX 50</t>
  </si>
  <si>
    <t>Enthusiast tuned kit</t>
  </si>
  <si>
    <t>RTX 5060</t>
  </si>
  <si>
    <t>Vengeance DDR5</t>
  </si>
  <si>
    <t>Blackwell (GB206)</t>
  </si>
  <si>
    <t>Core i7-11700F</t>
  </si>
  <si>
    <t>GDDR7</t>
  </si>
  <si>
    <t>Mainstream DDR5</t>
  </si>
  <si>
    <t>Z790 AORUS ELITE AX</t>
  </si>
  <si>
    <t>CL30</t>
  </si>
  <si>
    <t>RTX 5060 Ti 8GB</t>
  </si>
  <si>
    <t>AMD EXPO / Intel XMP sweet spot</t>
  </si>
  <si>
    <t>Vengeance RGB DDR5</t>
  </si>
  <si>
    <t>Core i7-11700K</t>
  </si>
  <si>
    <t>B760M PRO RS/D4</t>
  </si>
  <si>
    <t>RGB gaming builds</t>
  </si>
  <si>
    <t>Dominator Titanium DDR5</t>
  </si>
  <si>
    <t>2 x 32 GB</t>
  </si>
  <si>
    <t>RTX 5060 Ti 16GB</t>
  </si>
  <si>
    <t>Value board, 2.5G LAN</t>
  </si>
  <si>
    <t>Premium enthusiast / workstation</t>
  </si>
  <si>
    <t>Z790 Steel Legend WiFi</t>
  </si>
  <si>
    <t>Flare X5</t>
  </si>
  <si>
    <t>Core i7-11700KF</t>
  </si>
  <si>
    <t>AMD EXPO optimised for AM5</t>
  </si>
  <si>
    <t>Trident Z5 RGB</t>
  </si>
  <si>
    <t>RTX 5070</t>
  </si>
  <si>
    <t>Blackwell (GB205)</t>
  </si>
  <si>
    <t>PRIME B860M-A WIFI</t>
  </si>
  <si>
    <t>B860</t>
  </si>
  <si>
    <t>1x 16-pin (12V-2x6)</t>
  </si>
  <si>
    <t>High-end Intel XMP</t>
  </si>
  <si>
    <t>LGA1851</t>
  </si>
  <si>
    <t>Intel Core Ultra 200S</t>
  </si>
  <si>
    <t>Trident Z5 Neo RGB</t>
  </si>
  <si>
    <t>Core i9-11900</t>
  </si>
  <si>
    <t>RTX 5070 Ti</t>
  </si>
  <si>
    <t>256 GB</t>
  </si>
  <si>
    <t>Blackwell (GB203)</t>
  </si>
  <si>
    <t>WiFi 6E, memory OC</t>
  </si>
  <si>
    <t>AM5 EXPO enthusiast pick</t>
  </si>
  <si>
    <t>ROG STRIX Z890-A GAMING WIFI</t>
  </si>
  <si>
    <t>Z890</t>
  </si>
  <si>
    <t>Ripjaws S5</t>
  </si>
  <si>
    <t>Core i9-11900F</t>
  </si>
  <si>
    <t>RTX 5080</t>
  </si>
  <si>
    <t>Low-profile DDR5</t>
  </si>
  <si>
    <t>Crucial DDR5 UDIMM</t>
  </si>
  <si>
    <t>PRO B860M-A WIFI</t>
  </si>
  <si>
    <t>CL46</t>
  </si>
  <si>
    <t>OEM / office DDR5</t>
  </si>
  <si>
    <t>Crucial Pro DDR5</t>
  </si>
  <si>
    <t>RTX 5090</t>
  </si>
  <si>
    <t>Blackwell (GB202)</t>
  </si>
  <si>
    <t>WiFi 7, 2.5G LAN</t>
  </si>
  <si>
    <t>Core i9-11900K</t>
  </si>
  <si>
    <t>MAG Z890 TOMAHAWK WIFI</t>
  </si>
  <si>
    <t>512-bit</t>
  </si>
  <si>
    <t>Value overclock kit</t>
  </si>
  <si>
    <t>T-FORCE Delta RGB DDR5</t>
  </si>
  <si>
    <t>AMD</t>
  </si>
  <si>
    <t>Radeon RX 5000</t>
  </si>
  <si>
    <t>RX 5500 XT</t>
  </si>
  <si>
    <t>RDNA (Navi 14)</t>
  </si>
  <si>
    <t>4 GB / 8 GB</t>
  </si>
  <si>
    <t>CPU OC, WiFi 7, 5G LAN</t>
  </si>
  <si>
    <t>T-FORCE Vulcan DDR5</t>
  </si>
  <si>
    <t>Z890 AORUS ELITE WIFI7</t>
  </si>
  <si>
    <t>Core i9-11900KF</t>
  </si>
  <si>
    <t>Sapphire, PowerColor, XFX, ASRock, MSI, Gigabyte</t>
  </si>
  <si>
    <t>CL38</t>
  </si>
  <si>
    <t>Budget DDR5</t>
  </si>
  <si>
    <t>RX 5600 XT</t>
  </si>
  <si>
    <t>RDNA (Navi 10)</t>
  </si>
  <si>
    <t>Viper Venom DDR5</t>
  </si>
  <si>
    <t>CPU OC, WiFi 7, PCIe 5.0 M.2</t>
  </si>
  <si>
    <t>12th Gen Core (Alder Lake-S)</t>
  </si>
  <si>
    <t>Core i3-12100</t>
  </si>
  <si>
    <t>B860M Pro-A</t>
  </si>
  <si>
    <t>Alder Lake-S</t>
  </si>
  <si>
    <t>Value enthusiast DDR5</t>
  </si>
  <si>
    <t>Viper Venom RGB DDR5</t>
  </si>
  <si>
    <t>RX 5700</t>
  </si>
  <si>
    <t>DDR4-3200 / DDR5-4800</t>
  </si>
  <si>
    <t>XPG Lancer DDR5</t>
  </si>
  <si>
    <t>PRIME A320M-K</t>
  </si>
  <si>
    <t>A320</t>
  </si>
  <si>
    <t>Core i3-12100F</t>
  </si>
  <si>
    <t>AM4</t>
  </si>
  <si>
    <t>RX 5700 XT</t>
  </si>
  <si>
    <t>AMD Ryzen 1000-5000</t>
  </si>
  <si>
    <t>XPG Lancer RGB DDR5</t>
  </si>
  <si>
    <t>Entry board, BIOS update needed for 5000</t>
  </si>
  <si>
    <t>Radeon RX 6000</t>
  </si>
  <si>
    <t>RX 6400</t>
  </si>
  <si>
    <t>RGB enthusiast</t>
  </si>
  <si>
    <t>PRIME B450M-A II</t>
  </si>
  <si>
    <t>RDNA 2 (Navi 24)</t>
  </si>
  <si>
    <t>B450</t>
  </si>
  <si>
    <t>Core i5-12400</t>
  </si>
  <si>
    <t>64-bit</t>
  </si>
  <si>
    <t>Sapphire, PowerColor, XFX, ASRock, Gigabyte</t>
  </si>
  <si>
    <t>Budget favourite, CPU OC</t>
  </si>
  <si>
    <t>RX 6500 XT</t>
  </si>
  <si>
    <t>TUF Gaming B550M-PLUS</t>
  </si>
  <si>
    <t>B550</t>
  </si>
  <si>
    <t>AMD Ryzen 3000-5000</t>
  </si>
  <si>
    <t>Sapphire, PowerColor, XFX, ASRock, Gigabyte, MSI</t>
  </si>
  <si>
    <t>Core i5-12400F</t>
  </si>
  <si>
    <t>RX 6600</t>
  </si>
  <si>
    <t>RDNA 2 (Navi 23)</t>
  </si>
  <si>
    <t>RX 6600 XT</t>
  </si>
  <si>
    <t>PCIe 4.0, 2.5G LAN, CPU OC</t>
  </si>
  <si>
    <t>Core i5-12500</t>
  </si>
  <si>
    <t>ROG STRIX B550-F GAMING</t>
  </si>
  <si>
    <t>RX 6650 XT</t>
  </si>
  <si>
    <t>UHD Graphics 770</t>
  </si>
  <si>
    <t>Strong VRM, 2.5G LAN</t>
  </si>
  <si>
    <t>ROG CROSSHAIR VIII HERO</t>
  </si>
  <si>
    <t>X570</t>
  </si>
  <si>
    <t>Core i5-12600</t>
  </si>
  <si>
    <t>RX 6700 XT</t>
  </si>
  <si>
    <t>RDNA 2 (Navi 22)</t>
  </si>
  <si>
    <t>Flagship AM4 board, 2.5G LAN</t>
  </si>
  <si>
    <t>RX 6750 XT</t>
  </si>
  <si>
    <t>A320M-A PRO</t>
  </si>
  <si>
    <t>Core i5-12600K</t>
  </si>
  <si>
    <t>Entry SI board</t>
  </si>
  <si>
    <t>B450M-A PRO MAX II</t>
  </si>
  <si>
    <t>Core i5-12600KF</t>
  </si>
  <si>
    <t>RX 6800</t>
  </si>
  <si>
    <t>Budget board, wide CPU support</t>
  </si>
  <si>
    <t>RDNA 2 (Navi 21)</t>
  </si>
  <si>
    <t>MAG B550 TOMAHAWK MAX WIFI</t>
  </si>
  <si>
    <t>Excellent VRM, WiFi 6, 2.5G LAN</t>
  </si>
  <si>
    <t>RX 6800 XT</t>
  </si>
  <si>
    <t>MPG X570 GAMING PLUS</t>
  </si>
  <si>
    <t>Core i7-12700</t>
  </si>
  <si>
    <t>RX 6900 XT</t>
  </si>
  <si>
    <t>CPU OC, chipset fan</t>
  </si>
  <si>
    <t>A520M K V2</t>
  </si>
  <si>
    <t>A520</t>
  </si>
  <si>
    <t>Core i7-12700F</t>
  </si>
  <si>
    <t>RX 6950 XT</t>
  </si>
  <si>
    <t>Budget board, no CPU OC</t>
  </si>
  <si>
    <t>2x 8-pin / 3x 8-pin</t>
  </si>
  <si>
    <t>B450M DS3H V2</t>
  </si>
  <si>
    <t>Radeon RX 7000</t>
  </si>
  <si>
    <t>RX 7600</t>
  </si>
  <si>
    <t>RDNA 3 (Navi 33)</t>
  </si>
  <si>
    <t>Core i7-12700K</t>
  </si>
  <si>
    <t>Common budget board</t>
  </si>
  <si>
    <t>Sapphire, PowerColor, XFX, ASRock, Gigabyte, ASUS</t>
  </si>
  <si>
    <t>B550M AORUS ELITE</t>
  </si>
  <si>
    <t>RX 7600 XT</t>
  </si>
  <si>
    <t>PCIe 4.0, solid VRM</t>
  </si>
  <si>
    <t>X570 AORUS ELITE</t>
  </si>
  <si>
    <t>RX 7700 XT</t>
  </si>
  <si>
    <t>RDNA 3 (Navi 32)</t>
  </si>
  <si>
    <t>Core i7-12700KF</t>
  </si>
  <si>
    <t>B450M Steel Legend</t>
  </si>
  <si>
    <t>RX 7800 XT</t>
  </si>
  <si>
    <t>Core i9-12900</t>
  </si>
  <si>
    <t>Good VRM for the price</t>
  </si>
  <si>
    <t>B550M Steel Legend</t>
  </si>
  <si>
    <t>RX 7900 GRE</t>
  </si>
  <si>
    <t>RDNA 3 (Navi 31)</t>
  </si>
  <si>
    <t>PCIe 4.0, 2.5G LAN</t>
  </si>
  <si>
    <t>RX 7900 XT</t>
  </si>
  <si>
    <t>20 GB</t>
  </si>
  <si>
    <t>Core i9-12900F</t>
  </si>
  <si>
    <t>PRIME A620M-K</t>
  </si>
  <si>
    <t>A620</t>
  </si>
  <si>
    <t>AM5</t>
  </si>
  <si>
    <t>AMD Ryzen 7000-9000</t>
  </si>
  <si>
    <t>RX 7900 XTX</t>
  </si>
  <si>
    <t>96 GB</t>
  </si>
  <si>
    <t>Entry AM5 board, no CPU OC</t>
  </si>
  <si>
    <t>Core i9-12900K</t>
  </si>
  <si>
    <t>Radeon RX 9000</t>
  </si>
  <si>
    <t>PRIME B650M-A II</t>
  </si>
  <si>
    <t>RX 9060 XT 8GB</t>
  </si>
  <si>
    <t>B650</t>
  </si>
  <si>
    <t>RDNA 4 (Navi 44)</t>
  </si>
  <si>
    <t>Value AM5 board, 2.5G LAN</t>
  </si>
  <si>
    <t>RX 9060 XT 16GB</t>
  </si>
  <si>
    <t>Core i9-12900KF</t>
  </si>
  <si>
    <t>TUF Gaming B650-PLUS WIFI</t>
  </si>
  <si>
    <t>RX 9070</t>
  </si>
  <si>
    <t>WiFi 6, 2.5G LAN, CPU OC</t>
  </si>
  <si>
    <t>RDNA 4 (Navi 48)</t>
  </si>
  <si>
    <t>ROG STRIX B650E-F GAMING WIFI</t>
  </si>
  <si>
    <t>B650E</t>
  </si>
  <si>
    <t>Core i9-12900KS</t>
  </si>
  <si>
    <t>RX 9070 XT</t>
  </si>
  <si>
    <t>PCIe 5.0 x16 + M.2, WiFi 6E</t>
  </si>
  <si>
    <t>Arc A-Series</t>
  </si>
  <si>
    <t>Arc A310</t>
  </si>
  <si>
    <t>Alchemist (ACM-G11)</t>
  </si>
  <si>
    <t>ROG STRIX X670E-E GAMING WIFI</t>
  </si>
  <si>
    <t>13th Gen Core (Raptor Lake-S)</t>
  </si>
  <si>
    <t>X670E</t>
  </si>
  <si>
    <t>Core i3-13100</t>
  </si>
  <si>
    <t>Raptor Lake-S</t>
  </si>
  <si>
    <t>ASRock, Sparkle, Gunnir</t>
  </si>
  <si>
    <t>Arc A380</t>
  </si>
  <si>
    <t>Dual chipset, WiFi 6E, 2.5G LAN</t>
  </si>
  <si>
    <t>ROG CROSSHAIR X870E HERO</t>
  </si>
  <si>
    <t>X870E</t>
  </si>
  <si>
    <t>ASRock, Sparkle, Gunnir, Acer</t>
  </si>
  <si>
    <t>Core i3-13100F</t>
  </si>
  <si>
    <t>Arc A580</t>
  </si>
  <si>
    <t>Alchemist (ACM-G10)</t>
  </si>
  <si>
    <t>USB4, WiFi 7, flagship VRM</t>
  </si>
  <si>
    <t>PRO A620M-E</t>
  </si>
  <si>
    <t>Arc A750</t>
  </si>
  <si>
    <t>Core i5-13400</t>
  </si>
  <si>
    <t>Budget AM5 entry</t>
  </si>
  <si>
    <t>Intel, ASRock, Sparkle, Acer, Gunnir</t>
  </si>
  <si>
    <t>PRO B650M-A WIFI</t>
  </si>
  <si>
    <t>Arc A770 8GB</t>
  </si>
  <si>
    <t>ASRock, Sparkle, Acer, Gunnir</t>
  </si>
  <si>
    <t>Core i5-13400F</t>
  </si>
  <si>
    <t>MAG B650 TOMAHAWK WIFI</t>
  </si>
  <si>
    <t>Arc A770 16GB</t>
  </si>
  <si>
    <t>Arc B-Series</t>
  </si>
  <si>
    <t>MPG X670E CARBON WIFI</t>
  </si>
  <si>
    <t>Arc B570</t>
  </si>
  <si>
    <t>Battlemage (BMG-G21)</t>
  </si>
  <si>
    <t>Core i5-13500</t>
  </si>
  <si>
    <t>160-bit</t>
  </si>
  <si>
    <t>PCIe 5.0 M.2, WiFi 6E</t>
  </si>
  <si>
    <t>Arc B580</t>
  </si>
  <si>
    <t>Category</t>
  </si>
  <si>
    <t>MAG X870 TOMAHAWK WIFI</t>
  </si>
  <si>
    <t>X870</t>
  </si>
  <si>
    <t>Interface</t>
  </si>
  <si>
    <t>Capacities</t>
  </si>
  <si>
    <t>Seq. Read (MB/s)</t>
  </si>
  <si>
    <t>Core i5-13600</t>
  </si>
  <si>
    <t>Intel, ASRock, Sparkle, Acer, Gunnir, Maxsun</t>
  </si>
  <si>
    <t>Seq. Write (MB/s)</t>
  </si>
  <si>
    <t>DRAM Cache</t>
  </si>
  <si>
    <t>Warranty</t>
  </si>
  <si>
    <t>USB4, WiFi 7, 5G LAN</t>
  </si>
  <si>
    <t>A620M GAMING X</t>
  </si>
  <si>
    <t>Samsung</t>
  </si>
  <si>
    <t>970 EVO Plus</t>
  </si>
  <si>
    <t>NVMe SSD</t>
  </si>
  <si>
    <t>M.2 2280</t>
  </si>
  <si>
    <t>PCIe 3.0 x4</t>
  </si>
  <si>
    <t>250 GB - 2 TB</t>
  </si>
  <si>
    <t>Core i5-13600K</t>
  </si>
  <si>
    <t>Budget AM5, 4 DIMM slots</t>
  </si>
  <si>
    <t>5 years</t>
  </si>
  <si>
    <t>Reliable mainstream OS drive</t>
  </si>
  <si>
    <t>B650M DS3H</t>
  </si>
  <si>
    <t>Western Digital</t>
  </si>
  <si>
    <t>WD Blue SN570</t>
  </si>
  <si>
    <t>Value AM5 mainstream board</t>
  </si>
  <si>
    <t>DDR4-3200 / DDR5-5600</t>
  </si>
  <si>
    <t>B650 AORUS ELITE AX</t>
  </si>
  <si>
    <t>No (HMB)</t>
  </si>
  <si>
    <t>Value OS / general storage</t>
  </si>
  <si>
    <t>Core i5-13600KF</t>
  </si>
  <si>
    <t>WD Black SN770</t>
  </si>
  <si>
    <t>PCIe 4.0 x4</t>
  </si>
  <si>
    <t>WiFi 6E, 2.5G LAN, good VRM</t>
  </si>
  <si>
    <t>Gaming, no DRAM but fast</t>
  </si>
  <si>
    <t>X670E AORUS MASTER</t>
  </si>
  <si>
    <t>P3 Plus</t>
  </si>
  <si>
    <t>500 GB - 4 TB</t>
  </si>
  <si>
    <t>Budget capacity drive</t>
  </si>
  <si>
    <t>High-end VRM, WiFi 6E, 10G LAN</t>
  </si>
  <si>
    <t>Core i7-13700</t>
  </si>
  <si>
    <t>NV2</t>
  </si>
  <si>
    <t>X870 AORUS ELITE WIFI7</t>
  </si>
  <si>
    <t>250 GB - 4 TB</t>
  </si>
  <si>
    <t>3 years</t>
  </si>
  <si>
    <t>Budget bulk storage (variable NAND)</t>
  </si>
  <si>
    <t>KC3000</t>
  </si>
  <si>
    <t>USB4, WiFi 7, PCIe 5.0 M.2</t>
  </si>
  <si>
    <t>512 GB - 4 TB</t>
  </si>
  <si>
    <t>B650M PG Riptide</t>
  </si>
  <si>
    <t>High-end workload drive</t>
  </si>
  <si>
    <t>980 PRO</t>
  </si>
  <si>
    <t>Core i7-13700F</t>
  </si>
  <si>
    <t>High-end gaming / editing</t>
  </si>
  <si>
    <t>990 PRO</t>
  </si>
  <si>
    <t>B650E Steel Legend WiFi</t>
  </si>
  <si>
    <t>1 TB - 4 TB</t>
  </si>
  <si>
    <t>Core i7-13700K</t>
  </si>
  <si>
    <t>Flagship PCIe 4.0</t>
  </si>
  <si>
    <t>990 EVO Plus</t>
  </si>
  <si>
    <t>PCIe 4.0 x4 / 5.0 x2</t>
  </si>
  <si>
    <t>PCIe 5.0 x16, WiFi 6E</t>
  </si>
  <si>
    <t>Mainstream high-speed</t>
  </si>
  <si>
    <t>X870 Steel Legend WiFi</t>
  </si>
  <si>
    <t>WD Black SN850X</t>
  </si>
  <si>
    <t>1 TB - 8 TB</t>
  </si>
  <si>
    <t>Top-tier gaming drive</t>
  </si>
  <si>
    <t>Core i7-13700KF</t>
  </si>
  <si>
    <t>T500</t>
  </si>
  <si>
    <t>USB4, WiFi 7, 2.5G LAN</t>
  </si>
  <si>
    <t>Value flagship PCIe 4.0</t>
  </si>
  <si>
    <t>Seagate</t>
  </si>
  <si>
    <t>FireCuda 530</t>
  </si>
  <si>
    <t>High endurance gaming</t>
  </si>
  <si>
    <t>XPG GAMMIX S70 BLADE</t>
  </si>
  <si>
    <t>Core i9-13900</t>
  </si>
  <si>
    <t>PS5-compatible gaming drive</t>
  </si>
  <si>
    <t>T-FORCE Z44A7</t>
  </si>
  <si>
    <t>Value high-speed drive</t>
  </si>
  <si>
    <t>T700</t>
  </si>
  <si>
    <t>PCIe 5.0 x4</t>
  </si>
  <si>
    <t>PCIe 5.0 flagship (needs heatsink)</t>
  </si>
  <si>
    <t>Core i9-13900F</t>
  </si>
  <si>
    <t>T705</t>
  </si>
  <si>
    <t>Fastest consumer tier</t>
  </si>
  <si>
    <t>9100 PRO</t>
  </si>
  <si>
    <t>PCIe 5.0 flagship</t>
  </si>
  <si>
    <t>XPG MARS 980</t>
  </si>
  <si>
    <t>Core i9-13900K</t>
  </si>
  <si>
    <t>PCIe 5.0 enthusiast</t>
  </si>
  <si>
    <t>870 EVO</t>
  </si>
  <si>
    <t>SATA SSD</t>
  </si>
  <si>
    <t>2.5-inch</t>
  </si>
  <si>
    <t>SATA III 6 Gb/s</t>
  </si>
  <si>
    <t>Reliable SATA upgrade for old PCs</t>
  </si>
  <si>
    <t>870 QVO</t>
  </si>
  <si>
    <t>Bulk QLC storage</t>
  </si>
  <si>
    <t>Core i9-13900KF</t>
  </si>
  <si>
    <t>MX500</t>
  </si>
  <si>
    <t>Classic SATA workhorse</t>
  </si>
  <si>
    <t>BX500</t>
  </si>
  <si>
    <t>240 GB - 2 TB</t>
  </si>
  <si>
    <t>Budget laptop / HDD replacement</t>
  </si>
  <si>
    <t>WD Blue 3D NAND</t>
  </si>
  <si>
    <t>Core i9-13900KS</t>
  </si>
  <si>
    <t>Mainstream SATA</t>
  </si>
  <si>
    <t>A400</t>
  </si>
  <si>
    <t>120 GB - 960 GB</t>
  </si>
  <si>
    <t>Cheapest HDD-to-SSD upgrade</t>
  </si>
  <si>
    <t>AX2</t>
  </si>
  <si>
    <t>256 GB - 2 TB</t>
  </si>
  <si>
    <t>Budget shop-fit SSD</t>
  </si>
  <si>
    <t>BarraCuda</t>
  </si>
  <si>
    <t>14th Gen Core (Raptor Lake Refresh)</t>
  </si>
  <si>
    <t>HDD 7200/5400 RPM</t>
  </si>
  <si>
    <t>3.5-inch</t>
  </si>
  <si>
    <t>Core i3-14100</t>
  </si>
  <si>
    <t>500 GB - 8 TB</t>
  </si>
  <si>
    <t>Raptor Lake-S Refresh</t>
  </si>
  <si>
    <t>256 MB cache</t>
  </si>
  <si>
    <t>2 years</t>
  </si>
  <si>
    <t>Budget mass storage</t>
  </si>
  <si>
    <t>IronWolf</t>
  </si>
  <si>
    <t>HDD 5900/7200 RPM (NAS)</t>
  </si>
  <si>
    <t>1 TB - 12 TB</t>
  </si>
  <si>
    <t>64-256 MB cache</t>
  </si>
  <si>
    <t>NAS / 24x7 operation</t>
  </si>
  <si>
    <t>SkyHawk</t>
  </si>
  <si>
    <t>HDD 5400/7200 RPM (Surveillance)</t>
  </si>
  <si>
    <t>1 TB - 10 TB</t>
  </si>
  <si>
    <t>Core i3-14100F</t>
  </si>
  <si>
    <t>CCTV / DVR recording</t>
  </si>
  <si>
    <t>WD Blue</t>
  </si>
  <si>
    <t>HDD 5400/7200 RPM</t>
  </si>
  <si>
    <t>Everyday desktop storage</t>
  </si>
  <si>
    <t>WD Black</t>
  </si>
  <si>
    <t>HDD 7200 RPM</t>
  </si>
  <si>
    <t>500 GB - 10 TB</t>
  </si>
  <si>
    <t>Performance HDD</t>
  </si>
  <si>
    <t>WD Red Plus</t>
  </si>
  <si>
    <t>Core i5-14400</t>
  </si>
  <si>
    <t>HDD 5400/7200 RPM (NAS)</t>
  </si>
  <si>
    <t>1 TB - 14 TB</t>
  </si>
  <si>
    <t>64-512 MB cache</t>
  </si>
  <si>
    <t>NAS / RAID</t>
  </si>
  <si>
    <t>WD Purple</t>
  </si>
  <si>
    <t>HDD 5400 RPM (Surveillance)</t>
  </si>
  <si>
    <t>CCTV / NVR</t>
  </si>
  <si>
    <t>Toshiba</t>
  </si>
  <si>
    <t>P300</t>
  </si>
  <si>
    <t>500 GB - 6 TB</t>
  </si>
  <si>
    <t>Core i5-14400F</t>
  </si>
  <si>
    <t>Value desktop storage</t>
  </si>
  <si>
    <t>MG Series</t>
  </si>
  <si>
    <t>HDD 7200 RPM (Enterprise)</t>
  </si>
  <si>
    <t>SATA III / SAS</t>
  </si>
  <si>
    <t>4 TB - 22 TB</t>
  </si>
  <si>
    <t>256-512 MB cache</t>
  </si>
  <si>
    <t>Enterprise / server</t>
  </si>
  <si>
    <t>Core i5-14500</t>
  </si>
  <si>
    <t>Core i5-14600</t>
  </si>
  <si>
    <t>Core i5-14600K</t>
  </si>
  <si>
    <t>Core i5-14600KF</t>
  </si>
  <si>
    <t>Core i7-14700</t>
  </si>
  <si>
    <t>Core i7-14700F</t>
  </si>
  <si>
    <t>Core i7-14700K</t>
  </si>
  <si>
    <t>Core i7-14700KF</t>
  </si>
  <si>
    <t>Core i9-14900</t>
  </si>
  <si>
    <t>Core i9-14900F</t>
  </si>
  <si>
    <t>Core i9-14900K</t>
  </si>
  <si>
    <t>Core i9-14900KF</t>
  </si>
  <si>
    <t>Core i9-14900KS</t>
  </si>
  <si>
    <t>Core Ultra 200S (Arrow Lake-S)</t>
  </si>
  <si>
    <t>Core Ultra 5 225</t>
  </si>
  <si>
    <t>Arrow Lake-S</t>
  </si>
  <si>
    <t>Intel Graphics (Xe-LPG, 2 Xe)</t>
  </si>
  <si>
    <t>DDR5-6400</t>
  </si>
  <si>
    <t>Core Ultra 5 225F</t>
  </si>
  <si>
    <t>Core Ultra 5 235</t>
  </si>
  <si>
    <t>Intel Graphics (Xe-LPG, 4 Xe)</t>
  </si>
  <si>
    <t>Core Ultra 5 245K</t>
  </si>
  <si>
    <t>Wattage (W)</t>
  </si>
  <si>
    <t>80 PLUS Rating</t>
  </si>
  <si>
    <t>Modularity</t>
  </si>
  <si>
    <t>ATX Standard</t>
  </si>
  <si>
    <t>12VHPWR / 12V-2x6</t>
  </si>
  <si>
    <t>Fan Size (mm)</t>
  </si>
  <si>
    <t>Tower Class</t>
  </si>
  <si>
    <t>Warranty (Years)</t>
  </si>
  <si>
    <t>Motherboard Support</t>
  </si>
  <si>
    <t>Core Ultra 5 245KF</t>
  </si>
  <si>
    <t>Front Panel Type</t>
  </si>
  <si>
    <t>Notes</t>
  </si>
  <si>
    <t>Side Panel</t>
  </si>
  <si>
    <t>Max GPU Length (mm)</t>
  </si>
  <si>
    <t>Max CPU Cooler Height (mm)</t>
  </si>
  <si>
    <t>Max PSU Length (mm)</t>
  </si>
  <si>
    <t>Radiator Support</t>
  </si>
  <si>
    <t>Included Fans</t>
  </si>
  <si>
    <t>CX550 (2023)</t>
  </si>
  <si>
    <t>2.5" / 3.5" Bays</t>
  </si>
  <si>
    <t>Front I/O</t>
  </si>
  <si>
    <t>Core Ultra 7 265</t>
  </si>
  <si>
    <t>Lian Li</t>
  </si>
  <si>
    <t>80+ Bronze</t>
  </si>
  <si>
    <t>O11 Dynamic EVO</t>
  </si>
  <si>
    <t>Non-modular</t>
  </si>
  <si>
    <t>Mid Tower</t>
  </si>
  <si>
    <t>E-ATX, ATX, mATX, Mini-ITX</t>
  </si>
  <si>
    <t>ATX 2.4</t>
  </si>
  <si>
    <t>Solid (glass)</t>
  </si>
  <si>
    <t>Tempered Glass</t>
  </si>
  <si>
    <t>Entry-level budget build</t>
  </si>
  <si>
    <t>Core Ultra 7 265F</t>
  </si>
  <si>
    <t>360mm top / 360mm side / 360mm bottom</t>
  </si>
  <si>
    <t>None included</t>
  </si>
  <si>
    <t>4 / 6</t>
  </si>
  <si>
    <t>1x USB-C, 2x USB 3.0, Audio</t>
  </si>
  <si>
    <t>CX650 (2023)</t>
  </si>
  <si>
    <t>Lancool 216</t>
  </si>
  <si>
    <t>Mesh</t>
  </si>
  <si>
    <t>Core Ultra 7 265K</t>
  </si>
  <si>
    <t>Common budget gaming pick</t>
  </si>
  <si>
    <t>360mm front / 240mm top</t>
  </si>
  <si>
    <t>2x 160mm front, 1x 140mm rear</t>
  </si>
  <si>
    <t>4 / 2</t>
  </si>
  <si>
    <t>CX750 (2023)</t>
  </si>
  <si>
    <t>Lancool III</t>
  </si>
  <si>
    <t>Tempered Glass (hinged)</t>
  </si>
  <si>
    <t>Budget mid-range gaming</t>
  </si>
  <si>
    <t>420mm front / 360mm top</t>
  </si>
  <si>
    <t>3x 140mm front, 1x 140mm rear</t>
  </si>
  <si>
    <t>4 / 4</t>
  </si>
  <si>
    <t>CX650M</t>
  </si>
  <si>
    <t>NZXT</t>
  </si>
  <si>
    <t>H5 Flow (2024)</t>
  </si>
  <si>
    <t>Semi-modular</t>
  </si>
  <si>
    <t>Core Ultra 7 265KF</t>
  </si>
  <si>
    <t>ATX, mATX, Mini-ITX</t>
  </si>
  <si>
    <t>280mm front / 240mm top</t>
  </si>
  <si>
    <t>2x 120mm</t>
  </si>
  <si>
    <t>2 / 1</t>
  </si>
  <si>
    <t>1x USB-C, 1x USB 3.2, Audio</t>
  </si>
  <si>
    <t>H7 Flow (2024)</t>
  </si>
  <si>
    <t>Core Ultra 9 285K</t>
  </si>
  <si>
    <t>360mm front / 360mm top</t>
  </si>
  <si>
    <t>3x 120mm</t>
  </si>
  <si>
    <t>Semi-modular budget</t>
  </si>
  <si>
    <t>1x USB-C, 2x USB 3.2, Audio</t>
  </si>
  <si>
    <t>H9 Flow (2024)</t>
  </si>
  <si>
    <t>CX750M</t>
  </si>
  <si>
    <t>Mesh + Glass</t>
  </si>
  <si>
    <t>Dual Tempered Glass</t>
  </si>
  <si>
    <t>Ryzen 1000 (Summit Ridge)</t>
  </si>
  <si>
    <t>Ryzen 3 1200</t>
  </si>
  <si>
    <t>Summit Ridge</t>
  </si>
  <si>
    <t>RM550x</t>
  </si>
  <si>
    <t>80+ Gold</t>
  </si>
  <si>
    <t>4000D Airflow</t>
  </si>
  <si>
    <t>Full-modular</t>
  </si>
  <si>
    <t>DDR4-2667</t>
  </si>
  <si>
    <t>Quiet, zero-RPM mode</t>
  </si>
  <si>
    <t>360mm front / 280mm top</t>
  </si>
  <si>
    <t>Ryzen 3 1300X</t>
  </si>
  <si>
    <t>2 / 2</t>
  </si>
  <si>
    <t>RM650x</t>
  </si>
  <si>
    <t>1x USB-C, 1x USB 3.0, Audio</t>
  </si>
  <si>
    <t>3500X</t>
  </si>
  <si>
    <t>Long-standing quality pick</t>
  </si>
  <si>
    <t>RM750x</t>
  </si>
  <si>
    <t>Ryzen 5 1400</t>
  </si>
  <si>
    <t>Popular RTX 4070/7800 XT pairing</t>
  </si>
  <si>
    <t>RM850x</t>
  </si>
  <si>
    <t>360mm side / 360mm top</t>
  </si>
  <si>
    <t>3x 120mm ARGB</t>
  </si>
  <si>
    <t>Popular high-end pairing</t>
  </si>
  <si>
    <t>5000D Airflow</t>
  </si>
  <si>
    <t>RM1000x</t>
  </si>
  <si>
    <t>360mm front / 360mm side / 280mm top</t>
  </si>
  <si>
    <t>For RTX 4090-class builds</t>
  </si>
  <si>
    <t>RM650e (ATX 3.1)</t>
  </si>
  <si>
    <t>iCUE LINK 6500X RGB</t>
  </si>
  <si>
    <t>ATX 3.1</t>
  </si>
  <si>
    <t>Glass</t>
  </si>
  <si>
    <t>Ryzen 5 1500X</t>
  </si>
  <si>
    <t>Yes (12V-2x6)</t>
  </si>
  <si>
    <t>Native 12V-2x6 cable</t>
  </si>
  <si>
    <t>3x 120mm RGB</t>
  </si>
  <si>
    <t>RM750e (ATX 3.1)</t>
  </si>
  <si>
    <t>Fractal Design</t>
  </si>
  <si>
    <t>North</t>
  </si>
  <si>
    <t>Walnut + Mesh</t>
  </si>
  <si>
    <t>Tempered Glass or Mesh</t>
  </si>
  <si>
    <t>Ryzen 5 1600</t>
  </si>
  <si>
    <t>2x 140mm</t>
  </si>
  <si>
    <t>RM850e (ATX 3.1)</t>
  </si>
  <si>
    <t>Pop Air</t>
  </si>
  <si>
    <t>Ryzen 5 1600X</t>
  </si>
  <si>
    <t>2 / 4</t>
  </si>
  <si>
    <t>2x USB 3.0, Audio</t>
  </si>
  <si>
    <t>Meshify 2 Compact</t>
  </si>
  <si>
    <t>RM1000e (ATX 3.1)</t>
  </si>
  <si>
    <t>Torrent</t>
  </si>
  <si>
    <t>420mm front / 360mm bottom</t>
  </si>
  <si>
    <t>RTX 5080/5090 capable</t>
  </si>
  <si>
    <t>2x 180mm front, 3x 140mm bottom</t>
  </si>
  <si>
    <t>Ryzen 7 1700</t>
  </si>
  <si>
    <t>Define 7</t>
  </si>
  <si>
    <t>HX750</t>
  </si>
  <si>
    <t>Solid (sound-damped)</t>
  </si>
  <si>
    <t>Tempered Glass or Solid</t>
  </si>
  <si>
    <t>80+ Platinum</t>
  </si>
  <si>
    <t>360mm front / 420mm top</t>
  </si>
  <si>
    <t>3x 140mm</t>
  </si>
  <si>
    <t>6 / 14 (max)</t>
  </si>
  <si>
    <t>1x USB-C, 2x USB 3.0, 2x USB 2.0, Audio</t>
  </si>
  <si>
    <t>Phanteks</t>
  </si>
  <si>
    <t>Ryzen 7 1700X</t>
  </si>
  <si>
    <t>Eclipse P400A Digital</t>
  </si>
  <si>
    <t>Premium efficiency</t>
  </si>
  <si>
    <t>HX850</t>
  </si>
  <si>
    <t>3x 120mm DRGB</t>
  </si>
  <si>
    <t>3 / 2</t>
  </si>
  <si>
    <t>Eclipse G360A</t>
  </si>
  <si>
    <t>Ryzen 7 1800X</t>
  </si>
  <si>
    <t>HX1000</t>
  </si>
  <si>
    <t>XT Pro Ultra</t>
  </si>
  <si>
    <t>Ryzen 2000 (Raven Ridge APU)</t>
  </si>
  <si>
    <t>Ryzen 3 2200G</t>
  </si>
  <si>
    <t>4x 140mm DRGB</t>
  </si>
  <si>
    <t>Raven Ridge</t>
  </si>
  <si>
    <t>SF750</t>
  </si>
  <si>
    <t>Cooler Master</t>
  </si>
  <si>
    <t>MasterBox MB520 Mesh</t>
  </si>
  <si>
    <t>SFX</t>
  </si>
  <si>
    <t>Radeon Vega 8</t>
  </si>
  <si>
    <t>Small form factor builds</t>
  </si>
  <si>
    <t>SF850 (2024)</t>
  </si>
  <si>
    <t>MasterBox TD500 Mesh V2</t>
  </si>
  <si>
    <t>Ryzen 5 2400G</t>
  </si>
  <si>
    <t>Height / Radiator Size</t>
  </si>
  <si>
    <t>SFF with 12V-2x6</t>
  </si>
  <si>
    <t>Radeon Vega 11</t>
  </si>
  <si>
    <t>Fan Config</t>
  </si>
  <si>
    <t>MasterFrame 360</t>
  </si>
  <si>
    <t>Seasonic</t>
  </si>
  <si>
    <t>Rated TDP (W)</t>
  </si>
  <si>
    <t>CORE GM-500</t>
  </si>
  <si>
    <t>Open Frame</t>
  </si>
  <si>
    <t>Ryzen 2000 (Pinnacle Ridge)</t>
  </si>
  <si>
    <t>Socket Support</t>
  </si>
  <si>
    <t>Ryzen 5 2600</t>
  </si>
  <si>
    <t>Pinnacle Ridge</t>
  </si>
  <si>
    <t>420mm x2</t>
  </si>
  <si>
    <t>be quiet!</t>
  </si>
  <si>
    <t>Compact budget Gold unit</t>
  </si>
  <si>
    <t>Pure Base 500DX</t>
  </si>
  <si>
    <t>CORE GM-650</t>
  </si>
  <si>
    <t>Ryzen 5 2600X</t>
  </si>
  <si>
    <t>Hyper 212 Black Edition</t>
  </si>
  <si>
    <t>5 / 2</t>
  </si>
  <si>
    <t>Air (tower)</t>
  </si>
  <si>
    <t>159 mm</t>
  </si>
  <si>
    <t>Silent Base 802</t>
  </si>
  <si>
    <t>1x 120mm PWM</t>
  </si>
  <si>
    <t>Value Gold unit</t>
  </si>
  <si>
    <t>Solid or Mesh (swappable)</t>
  </si>
  <si>
    <t>FOCUS GX-550</t>
  </si>
  <si>
    <t>420mm front / 420mm top</t>
  </si>
  <si>
    <t>LGA1700/1200/115x, AM5/AM4</t>
  </si>
  <si>
    <t>7 / 7</t>
  </si>
  <si>
    <t>Ryzen 7 2700</t>
  </si>
  <si>
    <t>2x USB 3.0, 1x USB-C, Audio</t>
  </si>
  <si>
    <t>Excellent value, hybrid fan mode</t>
  </si>
  <si>
    <t>Shadow Base 800 FX</t>
  </si>
  <si>
    <t>Long-running budget standard</t>
  </si>
  <si>
    <t>FOCUS GX-650</t>
  </si>
  <si>
    <t>3x 140mm ARGB</t>
  </si>
  <si>
    <t>6 / 6</t>
  </si>
  <si>
    <t>Montech</t>
  </si>
  <si>
    <t>AIR 903 MAX</t>
  </si>
  <si>
    <t>Hyper 212 Halo Black</t>
  </si>
  <si>
    <t>FOCUS GX-750</t>
  </si>
  <si>
    <t>Ryzen 7 2700X</t>
  </si>
  <si>
    <t>1x 120mm ARGB</t>
  </si>
  <si>
    <t>6x 120mm ARGB</t>
  </si>
  <si>
    <t>KING 95 PRO</t>
  </si>
  <si>
    <t>LGA1851/1700/1200, AM5/AM4</t>
  </si>
  <si>
    <t>FOCUS GX-850</t>
  </si>
  <si>
    <t>5x 140mm ARGB</t>
  </si>
  <si>
    <t>ARGB version</t>
  </si>
  <si>
    <t>SKY TWO GX</t>
  </si>
  <si>
    <t>Ryzen 3000 (Picasso APU)</t>
  </si>
  <si>
    <t>Deepcool</t>
  </si>
  <si>
    <t>AK400</t>
  </si>
  <si>
    <t>Ryzen 3 3200G</t>
  </si>
  <si>
    <t>Picasso</t>
  </si>
  <si>
    <t>155 mm</t>
  </si>
  <si>
    <t>FOCUS GX-1000</t>
  </si>
  <si>
    <t>4x 140mm ARGB</t>
  </si>
  <si>
    <t>CH510 Mesh Digital</t>
  </si>
  <si>
    <t>Excellent budget performer</t>
  </si>
  <si>
    <t>High-wattage value</t>
  </si>
  <si>
    <t>AK620</t>
  </si>
  <si>
    <t>Air (dual tower)</t>
  </si>
  <si>
    <t>VERTEX GX-750</t>
  </si>
  <si>
    <t>1x 120mm rear</t>
  </si>
  <si>
    <t>160 mm</t>
  </si>
  <si>
    <t>Ryzen 5 3400G</t>
  </si>
  <si>
    <t>2x 120mm PWM</t>
  </si>
  <si>
    <t>ATX 3.0</t>
  </si>
  <si>
    <t>CH560 Digital</t>
  </si>
  <si>
    <t>Yes (12VHPWR)</t>
  </si>
  <si>
    <t>Near-flagship air cooling</t>
  </si>
  <si>
    <t>ATX 3.0 with native 12VHPWR</t>
  </si>
  <si>
    <t>3x 140mm ARGB, 1x 120mm</t>
  </si>
  <si>
    <t>AG400</t>
  </si>
  <si>
    <t>150 mm</t>
  </si>
  <si>
    <t>VERTEX GX-850</t>
  </si>
  <si>
    <t>Ryzen 3000 (Matisse)</t>
  </si>
  <si>
    <t>Ryzen 3 3100</t>
  </si>
  <si>
    <t>Matisse</t>
  </si>
  <si>
    <t>LGA1700/1200, AM5/AM4</t>
  </si>
  <si>
    <t>Compact budget option</t>
  </si>
  <si>
    <t>MORPHEUS</t>
  </si>
  <si>
    <t>Thermalright</t>
  </si>
  <si>
    <t>Peerless Assassin 120 SE</t>
  </si>
  <si>
    <t>4x 120mm ARGB</t>
  </si>
  <si>
    <t>VERTEX GX-1000</t>
  </si>
  <si>
    <t>Thermaltake</t>
  </si>
  <si>
    <t>Versa H18 / H17</t>
  </si>
  <si>
    <t>Ryzen 3 3300X</t>
  </si>
  <si>
    <t>mATX, Mini-ITX</t>
  </si>
  <si>
    <t>Solid / Mesh</t>
  </si>
  <si>
    <t>Best value high-end air</t>
  </si>
  <si>
    <t>240mm front</t>
  </si>
  <si>
    <t>PRIME PX-850</t>
  </si>
  <si>
    <t>Phantom Spirit 120 SE</t>
  </si>
  <si>
    <t>View 270 TG ARGB</t>
  </si>
  <si>
    <t>157 mm</t>
  </si>
  <si>
    <t>Ryzen 5 3500X</t>
  </si>
  <si>
    <t>Premium tier</t>
  </si>
  <si>
    <t>Successor to Peerless Assassin</t>
  </si>
  <si>
    <t>PRIME PX-1000</t>
  </si>
  <si>
    <t>Ceres 330 TG ARGB</t>
  </si>
  <si>
    <t>Assassin X 120 Refined SE</t>
  </si>
  <si>
    <t>148 mm</t>
  </si>
  <si>
    <t>Ryzen 5 3600</t>
  </si>
  <si>
    <t>Very cheap, decent performance</t>
  </si>
  <si>
    <t>TUF Gaming GT302 ARGB</t>
  </si>
  <si>
    <t>PRIME TX-750</t>
  </si>
  <si>
    <t>Noctua</t>
  </si>
  <si>
    <t>80+ Titanium</t>
  </si>
  <si>
    <t>NH-U12S redux</t>
  </si>
  <si>
    <t>158 mm</t>
  </si>
  <si>
    <t>Top-tier efficiency</t>
  </si>
  <si>
    <t>Quiet, compact</t>
  </si>
  <si>
    <t>Prime AP201</t>
  </si>
  <si>
    <t>Ryzen 5 3600X</t>
  </si>
  <si>
    <t>Mid Tower (compact)</t>
  </si>
  <si>
    <t>PRIME TX-1000</t>
  </si>
  <si>
    <t>NH-U12A</t>
  </si>
  <si>
    <t>Mesh or Tempered Glass</t>
  </si>
  <si>
    <t>360mm side / 280mm top</t>
  </si>
  <si>
    <t>Compact but flagship-class</t>
  </si>
  <si>
    <t>MAG FORGE 320R AIRFLOW</t>
  </si>
  <si>
    <t>NH-D15</t>
  </si>
  <si>
    <t>System Power 10 550W</t>
  </si>
  <si>
    <t>165 mm</t>
  </si>
  <si>
    <t>Ryzen 5 3600XT</t>
  </si>
  <si>
    <t>2x 140mm PWM</t>
  </si>
  <si>
    <t>Long-time air cooling benchmark</t>
  </si>
  <si>
    <t>MPG GUNGNIR 300R AIRFLOW</t>
  </si>
  <si>
    <t>NH-D15 G2</t>
  </si>
  <si>
    <t>Budget line</t>
  </si>
  <si>
    <t>168 mm</t>
  </si>
  <si>
    <t>System Power 10 650W</t>
  </si>
  <si>
    <t>LGA1851/1700, AM5</t>
  </si>
  <si>
    <t>Antec</t>
  </si>
  <si>
    <t>Ryzen 7 3700X</t>
  </si>
  <si>
    <t>P20C / P20CE</t>
  </si>
  <si>
    <t>Current flagship air cooler</t>
  </si>
  <si>
    <t>Pure Rock 2</t>
  </si>
  <si>
    <t>System Power 10 750W</t>
  </si>
  <si>
    <t>Ryzen 7 3800X</t>
  </si>
  <si>
    <t>Quiet budget option</t>
  </si>
  <si>
    <t>Dark Rock Pro 5</t>
  </si>
  <si>
    <t>163 mm</t>
  </si>
  <si>
    <t>Pure Power 12 M 550W</t>
  </si>
  <si>
    <t>1x 120mm + 1x 135mm</t>
  </si>
  <si>
    <t>Near-silent flagship</t>
  </si>
  <si>
    <t>ID-COOLING</t>
  </si>
  <si>
    <t>Ryzen 7 3800XT</t>
  </si>
  <si>
    <t>SE-224-XT / SE-226-XT</t>
  </si>
  <si>
    <t>Quiet mid-range</t>
  </si>
  <si>
    <t>154-160 mm</t>
  </si>
  <si>
    <t>DF700 FLUX</t>
  </si>
  <si>
    <t>Pure Power 12 M 650W</t>
  </si>
  <si>
    <t>Optional ARGB</t>
  </si>
  <si>
    <t>Popular budget pick</t>
  </si>
  <si>
    <t>Arctic</t>
  </si>
  <si>
    <t>Freezer 36 CO</t>
  </si>
  <si>
    <t>5x 120mm</t>
  </si>
  <si>
    <t>Ryzen 9 3900X</t>
  </si>
  <si>
    <t>Pure Power 12 M 750W</t>
  </si>
  <si>
    <t>Hyte</t>
  </si>
  <si>
    <t>Y60</t>
  </si>
  <si>
    <t>Strong value, dual-ball bearing</t>
  </si>
  <si>
    <t>Wraith Stealth (stock)</t>
  </si>
  <si>
    <t>Panoramic Tempered Glass</t>
  </si>
  <si>
    <t>Air (low profile)</t>
  </si>
  <si>
    <t>54 mm</t>
  </si>
  <si>
    <t>1x 90mm</t>
  </si>
  <si>
    <t>360mm top / 280mm side</t>
  </si>
  <si>
    <t>Pure Power 12 M 850W</t>
  </si>
  <si>
    <t>AM5/AM4</t>
  </si>
  <si>
    <t>Ryzen 9 3900XT</t>
  </si>
  <si>
    <t>Bundled with 65W Ryzen SKUs</t>
  </si>
  <si>
    <t>1x USB-C, 3x USB 3.0, Audio</t>
  </si>
  <si>
    <t>Y70</t>
  </si>
  <si>
    <t>Wraith Prism (stock)</t>
  </si>
  <si>
    <t>75 mm</t>
  </si>
  <si>
    <t>1x 90mm RGB</t>
  </si>
  <si>
    <t>Pure Power 12 M 1000W</t>
  </si>
  <si>
    <t>360mm top / 360mm side</t>
  </si>
  <si>
    <t>Bundled with older 95-105W Ryzen</t>
  </si>
  <si>
    <t>Ryzen 9 3950X</t>
  </si>
  <si>
    <t>Laminar RM1 (stock)</t>
  </si>
  <si>
    <t>InWin</t>
  </si>
  <si>
    <t>103 / 216</t>
  </si>
  <si>
    <t>50 mm</t>
  </si>
  <si>
    <t>1x 92mm</t>
  </si>
  <si>
    <t>Bundled with non-K Intel SKUs</t>
  </si>
  <si>
    <t>Straight Power 12 750W</t>
  </si>
  <si>
    <t>1-3x 120mm</t>
  </si>
  <si>
    <t>Ryzen 4000 (Renoir APU)</t>
  </si>
  <si>
    <t>MasterLiquid 240L Core ARGB</t>
  </si>
  <si>
    <t>Ryzen 3 4100</t>
  </si>
  <si>
    <t>AIO Liquid</t>
  </si>
  <si>
    <t>Renoir</t>
  </si>
  <si>
    <t>240 mm radiator</t>
  </si>
  <si>
    <t>Darkflash</t>
  </si>
  <si>
    <t>2x 120mm ARGB</t>
  </si>
  <si>
    <t>DK431 / DLM21 Mesh</t>
  </si>
  <si>
    <t>Very quiet premium</t>
  </si>
  <si>
    <t>Straight Power 12 850W</t>
  </si>
  <si>
    <t>Value 240mm AIO</t>
  </si>
  <si>
    <t>MasterLiquid 360 Atmos</t>
  </si>
  <si>
    <t>3-4x 120mm ARGB</t>
  </si>
  <si>
    <t>Ryzen 3 4300G</t>
  </si>
  <si>
    <t>360 mm radiator</t>
  </si>
  <si>
    <t>Tecware</t>
  </si>
  <si>
    <t>Forge M / Nexus Air</t>
  </si>
  <si>
    <t>Straight Power 12 1000W</t>
  </si>
  <si>
    <t>High-end 360mm</t>
  </si>
  <si>
    <t>Radeon Vega 6</t>
  </si>
  <si>
    <t>LE520 / LE720</t>
  </si>
  <si>
    <t>240 / 360 mm radiator</t>
  </si>
  <si>
    <t>2-3x 120mm ARGB</t>
  </si>
  <si>
    <t>Ryzen 5 4500</t>
  </si>
  <si>
    <t>1STPLAYER</t>
  </si>
  <si>
    <t>STEAMPUNK SP7 / BLACK SIR</t>
  </si>
  <si>
    <t>Dark Power 13 850W</t>
  </si>
  <si>
    <t>Mesh / Glass</t>
  </si>
  <si>
    <t>O11 Dynamic EVO XL</t>
  </si>
  <si>
    <t>Flagship silent unit</t>
  </si>
  <si>
    <t>Full Tower</t>
  </si>
  <si>
    <t>Strong value AIO</t>
  </si>
  <si>
    <t>Ryzen 5 4600G</t>
  </si>
  <si>
    <t>Dark Power 13 1000W</t>
  </si>
  <si>
    <t>LS520 SE / LS720 SE</t>
  </si>
  <si>
    <t>420mm top / 420mm side / 360mm bottom</t>
  </si>
  <si>
    <t>Radeon Vega 7</t>
  </si>
  <si>
    <t>1x USB-C, 4x USB 3.0, Audio</t>
  </si>
  <si>
    <t>V3000 PLUS</t>
  </si>
  <si>
    <t>Higher-performance value AIO</t>
  </si>
  <si>
    <t>Super / Full Tower</t>
  </si>
  <si>
    <t>E-ATX, SSI-EEB, ATX, mATX, Mini-ITX</t>
  </si>
  <si>
    <t>Solid</t>
  </si>
  <si>
    <t>iCUE H100i ELITE CAPELLIX XT</t>
  </si>
  <si>
    <t>MAG A550BN</t>
  </si>
  <si>
    <t>480mm x3 (multi-system)</t>
  </si>
  <si>
    <t>14 / 12</t>
  </si>
  <si>
    <t>2x USB-C, 4x USB 3.0, Audio</t>
  </si>
  <si>
    <t>2x 120mm RGB</t>
  </si>
  <si>
    <t>7000D Airflow</t>
  </si>
  <si>
    <t>Ryzen 7 4700G</t>
  </si>
  <si>
    <t>Entry gaming</t>
  </si>
  <si>
    <t>Popular 240mm</t>
  </si>
  <si>
    <t>MAG A650BN</t>
  </si>
  <si>
    <t>iCUE H150i ELITE CAPELLIX XT</t>
  </si>
  <si>
    <t>420mm front / 420mm top / 360mm side</t>
  </si>
  <si>
    <t>6 / 4</t>
  </si>
  <si>
    <t>Ryzen 5000 (Cezanne APU)</t>
  </si>
  <si>
    <t>Obsidian 1000D</t>
  </si>
  <si>
    <t>Ryzen 3 5300G</t>
  </si>
  <si>
    <t>Cezanne</t>
  </si>
  <si>
    <t>E-ATX, ATX, mATX, Mini-ITX + Mini-ITX secondary</t>
  </si>
  <si>
    <t>Popular 360mm</t>
  </si>
  <si>
    <t>MAG A750BN</t>
  </si>
  <si>
    <t>480mm front / 480mm top</t>
  </si>
  <si>
    <t>iCUE LINK TITAN 360 RX RGB</t>
  </si>
  <si>
    <t>5 / 5</t>
  </si>
  <si>
    <t>Define 7 XL</t>
  </si>
  <si>
    <t>LGA1851/1700, AM5/AM4</t>
  </si>
  <si>
    <t>Ryzen 5000 (Vermeer)</t>
  </si>
  <si>
    <t>MAG A650GL</t>
  </si>
  <si>
    <t>Ryzen 5 5500</t>
  </si>
  <si>
    <t>Single-cable iCUE LINK system</t>
  </si>
  <si>
    <t>480mm front / 420mm top</t>
  </si>
  <si>
    <t>4x 140mm</t>
  </si>
  <si>
    <t>6 / 18 (max)</t>
  </si>
  <si>
    <t>Kraken 240 (2023)</t>
  </si>
  <si>
    <t>Meshify 2 XL</t>
  </si>
  <si>
    <t>Value ATX 3.0 Gold</t>
  </si>
  <si>
    <t>MAG A750GL</t>
  </si>
  <si>
    <t>LCD display variants available</t>
  </si>
  <si>
    <t>Kraken Elite 360 RGB</t>
  </si>
  <si>
    <t>Torrent (full config)</t>
  </si>
  <si>
    <t>MAG A850GL</t>
  </si>
  <si>
    <t>2.36in LCD screen</t>
  </si>
  <si>
    <t>Ryzen 5 5500GT</t>
  </si>
  <si>
    <t>2x 180mm, 3x 140mm</t>
  </si>
  <si>
    <t>Liquid Freezer III 240</t>
  </si>
  <si>
    <t>240 mm radiator (38mm thick)</t>
  </si>
  <si>
    <t>Enthoo Pro 2</t>
  </si>
  <si>
    <t>MAG A1000GL</t>
  </si>
  <si>
    <t>Best price-performance AIO</t>
  </si>
  <si>
    <t>Liquid Freezer III 360</t>
  </si>
  <si>
    <t>360 mm radiator (38mm thick)</t>
  </si>
  <si>
    <t>Ryzen 5 5600</t>
  </si>
  <si>
    <t>MPG A850G PCIE5</t>
  </si>
  <si>
    <t>Vermeer</t>
  </si>
  <si>
    <t>Galahad II Trinity 360</t>
  </si>
  <si>
    <t>12 / 12</t>
  </si>
  <si>
    <t>Enthusiast tier</t>
  </si>
  <si>
    <t>NV7 / NV9</t>
  </si>
  <si>
    <t>Strong performance, clean design</t>
  </si>
  <si>
    <t>MPG A1000G PCIE5</t>
  </si>
  <si>
    <t>7-9x 140mm DRGB</t>
  </si>
  <si>
    <t>Frozen Notte 360 ARGB</t>
  </si>
  <si>
    <t>Ryzen 5 5600G</t>
  </si>
  <si>
    <t>HAF 700 EVO</t>
  </si>
  <si>
    <t>Mesh + LCD</t>
  </si>
  <si>
    <t>MWE Bronze V2 550</t>
  </si>
  <si>
    <t>Budget 360mm AIO</t>
  </si>
  <si>
    <t>2x 200mm, 4x 120mm</t>
  </si>
  <si>
    <t>ROG RYUJIN III 360 ARGB</t>
  </si>
  <si>
    <t>Cosmos C700M</t>
  </si>
  <si>
    <t>Budget staple</t>
  </si>
  <si>
    <t>Solid + RGB</t>
  </si>
  <si>
    <t>Curved Tempered Glass</t>
  </si>
  <si>
    <t>Ryzen 5 5600GT</t>
  </si>
  <si>
    <t>MWE Bronze V2 650</t>
  </si>
  <si>
    <t>3x 140mm, 1x 140mm rear</t>
  </si>
  <si>
    <t>3.5in LCD, Noctua-tuned fans</t>
  </si>
  <si>
    <t>4 / 5</t>
  </si>
  <si>
    <t>Dark Base Pro 901</t>
  </si>
  <si>
    <t>MAG CORELIQUID E360</t>
  </si>
  <si>
    <t>Mesh or Solid (swappable)</t>
  </si>
  <si>
    <t>MWE Bronze V2 750</t>
  </si>
  <si>
    <t>Value 360mm</t>
  </si>
  <si>
    <t>Ryzen 5 5600X</t>
  </si>
  <si>
    <t>Silent Base 802 (full config)</t>
  </si>
  <si>
    <t>Solid or Mesh</t>
  </si>
  <si>
    <t>MWE Gold V2 550</t>
  </si>
  <si>
    <t>Core P8 TG</t>
  </si>
  <si>
    <t>Open / Glass</t>
  </si>
  <si>
    <t>Tempered Glass (multi-panel)</t>
  </si>
  <si>
    <t>Value Gold</t>
  </si>
  <si>
    <t>Ryzen 5000 (Vermeer X3D)</t>
  </si>
  <si>
    <t>Ryzen 5 5600X3D</t>
  </si>
  <si>
    <t>MWE Gold V2 650</t>
  </si>
  <si>
    <t>View 51 / CTE C750</t>
  </si>
  <si>
    <t>420mm front / 420mm side</t>
  </si>
  <si>
    <t>ROG Hyperion GR701</t>
  </si>
  <si>
    <t>MWE Gold V2 750</t>
  </si>
  <si>
    <t>Ryzen 7 5700</t>
  </si>
  <si>
    <t>2x 420mm (4x fans)</t>
  </si>
  <si>
    <t>Performance 1 FT</t>
  </si>
  <si>
    <t>MWE Gold V2 850</t>
  </si>
  <si>
    <t>3x 140mm, 1x 120mm</t>
  </si>
  <si>
    <t>Torque / C8</t>
  </si>
  <si>
    <t>Open / Mesh</t>
  </si>
  <si>
    <t>Ryzen 7 5700G</t>
  </si>
  <si>
    <t>2-3x 120mm</t>
  </si>
  <si>
    <t>GX III Gold 650</t>
  </si>
  <si>
    <t>SilverStone</t>
  </si>
  <si>
    <t>Seta H1 / Alta F2</t>
  </si>
  <si>
    <t>ATX 3.0 mainstream</t>
  </si>
  <si>
    <t>GX III Gold 750</t>
  </si>
  <si>
    <t>Ryzen 7 5700X</t>
  </si>
  <si>
    <t>D-Frame / 928</t>
  </si>
  <si>
    <t>Open Frame / Aluminium</t>
  </si>
  <si>
    <t>Varies by SKU</t>
  </si>
  <si>
    <t>6 / 8</t>
  </si>
  <si>
    <t>GX III Gold 850</t>
  </si>
  <si>
    <t>Y70 Touch Infinite</t>
  </si>
  <si>
    <t>Glass + LCD</t>
  </si>
  <si>
    <t>Ryzen 7 5700X3D</t>
  </si>
  <si>
    <t>V850 Gold V2</t>
  </si>
  <si>
    <t>Compact high-end</t>
  </si>
  <si>
    <t>V1000 Platinum</t>
  </si>
  <si>
    <t>Ryzen 7 5800X</t>
  </si>
  <si>
    <t>High-end</t>
  </si>
  <si>
    <t>Smart BX1 550W</t>
  </si>
  <si>
    <t>Entry unit</t>
  </si>
  <si>
    <t>Ryzen 7 5800X3D</t>
  </si>
  <si>
    <t>Smart BX1 650W</t>
  </si>
  <si>
    <t>Smart BX1 750W</t>
  </si>
  <si>
    <t>Ryzen 9 5900X</t>
  </si>
  <si>
    <t>Toughpower GF1 650W</t>
  </si>
  <si>
    <t>Mid-range Gold</t>
  </si>
  <si>
    <t>Ryzen 9 5950X</t>
  </si>
  <si>
    <t>Toughpower GF1 750W</t>
  </si>
  <si>
    <t>Toughpower GF3 850W</t>
  </si>
  <si>
    <t>Ryzen 7000 (Raphael)</t>
  </si>
  <si>
    <t>Ryzen 5 7500F</t>
  </si>
  <si>
    <t>Raphael</t>
  </si>
  <si>
    <t>ATX 3.0 Gold</t>
  </si>
  <si>
    <t>DDR5-5200</t>
  </si>
  <si>
    <t>Toughpower GF3 1000W</t>
  </si>
  <si>
    <t>Ryzen 5 7600</t>
  </si>
  <si>
    <t>Toughpower PF3 1000W</t>
  </si>
  <si>
    <t>Radeon Graphics (RDNA 2, 2 CU)</t>
  </si>
  <si>
    <t>Ryzen 5 7600X</t>
  </si>
  <si>
    <t>Platinum tier</t>
  </si>
  <si>
    <t>TUF Gaming 550B</t>
  </si>
  <si>
    <t>Dust-resistant fan</t>
  </si>
  <si>
    <t>TUF Gaming 650B</t>
  </si>
  <si>
    <t>Ryzen 7 7700</t>
  </si>
  <si>
    <t>TUF Gaming 750B</t>
  </si>
  <si>
    <t>Ryzen 7 7700X</t>
  </si>
  <si>
    <t>TUF Gaming 750W Gold</t>
  </si>
  <si>
    <t>Military-grade components</t>
  </si>
  <si>
    <t>TUF Gaming 850W Gold</t>
  </si>
  <si>
    <t>TUF Gaming 1000W Gold</t>
  </si>
  <si>
    <t>Ryzen 7000 (Raphael X3D)</t>
  </si>
  <si>
    <t>Ryzen 7 7800X3D</t>
  </si>
  <si>
    <t>ROG STRIX 750W Gold Aura</t>
  </si>
  <si>
    <t>Ryzen 9 7900</t>
  </si>
  <si>
    <t>ARGB, quiet</t>
  </si>
  <si>
    <t>ROG STRIX 850W Gold Aura</t>
  </si>
  <si>
    <t>Ryzen 9 7900X</t>
  </si>
  <si>
    <t>ROG STRIX 1000W Gold Aura</t>
  </si>
  <si>
    <t>Ryzen 9 7900X3D</t>
  </si>
  <si>
    <t>ROG THOR 1000W Platinum II</t>
  </si>
  <si>
    <t>OLED power display</t>
  </si>
  <si>
    <t>P550B</t>
  </si>
  <si>
    <t>Ryzen 9 7950X</t>
  </si>
  <si>
    <t>P650B</t>
  </si>
  <si>
    <t>Ryzen 9 7950X3D</t>
  </si>
  <si>
    <t>P750B</t>
  </si>
  <si>
    <t>Ryzen 8000G (Phoenix APU)</t>
  </si>
  <si>
    <t>Ryzen 3 8300G</t>
  </si>
  <si>
    <t>Phoenix 2</t>
  </si>
  <si>
    <t>GP-UD750GM</t>
  </si>
  <si>
    <t>Radeon 740M</t>
  </si>
  <si>
    <t>DDR5-5600</t>
  </si>
  <si>
    <t>GP-UD850GM</t>
  </si>
  <si>
    <t>Ryzen 5 8400F</t>
  </si>
  <si>
    <t>Phoenix</t>
  </si>
  <si>
    <t>GP-UD1000GM PG5</t>
  </si>
  <si>
    <t>Ryzen 5 8500G</t>
  </si>
  <si>
    <t>AORUS P850W</t>
  </si>
  <si>
    <t>Ryzen 5 8600G</t>
  </si>
  <si>
    <t>C550 Gold</t>
  </si>
  <si>
    <t>Radeon 760M</t>
  </si>
  <si>
    <t>Seasonic-built</t>
  </si>
  <si>
    <t>Ryzen 7 8700F</t>
  </si>
  <si>
    <t>C650 Gold</t>
  </si>
  <si>
    <t>Ryzen 7 8700G</t>
  </si>
  <si>
    <t>C750 Gold</t>
  </si>
  <si>
    <t>Workbook Contents - Live Counts</t>
  </si>
  <si>
    <t>Every figure below is a formula, so it updates automatically when you add or remove rows.</t>
  </si>
  <si>
    <t>Radeon 780M</t>
  </si>
  <si>
    <t>C850 Gold (2022)</t>
  </si>
  <si>
    <t>Ryzen 9000 (Granite Ridge)</t>
  </si>
  <si>
    <t>Ryzen 5 9600X</t>
  </si>
  <si>
    <t>Granite Ridge</t>
  </si>
  <si>
    <t>Quiet, clean cabling</t>
  </si>
  <si>
    <t>Sheet</t>
  </si>
  <si>
    <t>C1000 Gold ATX 3.1</t>
  </si>
  <si>
    <t>Ryzen 7 9700X</t>
  </si>
  <si>
    <t>For RTX 50-series</t>
  </si>
  <si>
    <t>Component Category</t>
  </si>
  <si>
    <t>EVGA</t>
  </si>
  <si>
    <t>500 BR</t>
  </si>
  <si>
    <t>Entries</t>
  </si>
  <si>
    <t>Breakdown</t>
  </si>
  <si>
    <t>Ryzen 9000 (Granite Ridge X3D)</t>
  </si>
  <si>
    <t>Ryzen 7 9800X3D</t>
  </si>
  <si>
    <t>Count</t>
  </si>
  <si>
    <t>1. CPU</t>
  </si>
  <si>
    <t>600 BR</t>
  </si>
  <si>
    <t>Processors</t>
  </si>
  <si>
    <t>Ryzen 9 9900X</t>
  </si>
  <si>
    <t>SuperNOVA 650 GT</t>
  </si>
  <si>
    <t>Compact 150mm depth</t>
  </si>
  <si>
    <t>Ryzen 9 9900X3D</t>
  </si>
  <si>
    <t>SuperNOVA 750 GT</t>
  </si>
  <si>
    <t>SuperNOVA 850 G6</t>
  </si>
  <si>
    <t>Ryzen 9 9950X</t>
  </si>
  <si>
    <t>SuperNOVA 1000 G6</t>
  </si>
  <si>
    <t>Ryzen 9 9950X3D</t>
  </si>
  <si>
    <t>SuperNOVA 1000 P6</t>
  </si>
  <si>
    <t>FSP</t>
  </si>
  <si>
    <t>Hydro K PRO 550W</t>
  </si>
  <si>
    <t>Value OEM-grade</t>
  </si>
  <si>
    <t>Hydro K PRO 650W</t>
  </si>
  <si>
    <t>Hydro G PRO 750W</t>
  </si>
  <si>
    <t>Solid mid-range</t>
  </si>
  <si>
    <t>Hydro G PRO 850W</t>
  </si>
  <si>
    <t>Hydro G PRO 1000W</t>
  </si>
  <si>
    <t>Dagger Pro 850W SFX</t>
  </si>
  <si>
    <t>SFX-L</t>
  </si>
  <si>
    <t>SFF builds</t>
  </si>
  <si>
    <t>Super Flower</t>
  </si>
  <si>
    <t>Leadex III Gold 650W</t>
  </si>
  <si>
    <t>Socket AM4</t>
  </si>
  <si>
    <t>OEM for many premium brands</t>
  </si>
  <si>
    <t>Leadex III Gold 850W</t>
  </si>
  <si>
    <t>Socket AM5</t>
  </si>
  <si>
    <t>Leadex VII Gold 1000W</t>
  </si>
  <si>
    <t>PN650M</t>
  </si>
  <si>
    <t>Socket LGA1200</t>
  </si>
  <si>
    <t>Compact value Gold</t>
  </si>
  <si>
    <t>PN750M</t>
  </si>
  <si>
    <t>Socket LGA1700</t>
  </si>
  <si>
    <t>PN850M</t>
  </si>
  <si>
    <t>Socket LGA1851</t>
  </si>
  <si>
    <t>PX850G</t>
  </si>
  <si>
    <t>2. GPU</t>
  </si>
  <si>
    <t>Graphics Cards</t>
  </si>
  <si>
    <t>ATX 3.0 with 12VHPWR</t>
  </si>
  <si>
    <t>PX1000G</t>
  </si>
  <si>
    <t>Pylon 550W</t>
  </si>
  <si>
    <t>Budget unit</t>
  </si>
  <si>
    <t>Pylon 650W</t>
  </si>
  <si>
    <t>Core Reactor II 650W</t>
  </si>
  <si>
    <t>Intel Arc</t>
  </si>
  <si>
    <t>Good value ATX 3.0</t>
  </si>
  <si>
    <t>Core Reactor II 750W</t>
  </si>
  <si>
    <t>3. Motherboard</t>
  </si>
  <si>
    <t>Core Reactor II 850W</t>
  </si>
  <si>
    <t>Motherboards</t>
  </si>
  <si>
    <t>Core Reactor II 1000W</t>
  </si>
  <si>
    <t>NeoECO 550M</t>
  </si>
  <si>
    <t>Intel sockets</t>
  </si>
  <si>
    <t>Value semi-modular</t>
  </si>
  <si>
    <t>NeoECO Gold 650W</t>
  </si>
  <si>
    <t>NeoECO Gold 750W</t>
  </si>
  <si>
    <t>AMD sockets</t>
  </si>
  <si>
    <t>Signature 1000W</t>
  </si>
  <si>
    <t>4. RAM</t>
  </si>
  <si>
    <t>Memory Kits</t>
  </si>
  <si>
    <t>Flagship Titanium</t>
  </si>
  <si>
    <t>ET650-G</t>
  </si>
  <si>
    <t>Compact 140mm depth</t>
  </si>
  <si>
    <t>ET750-G</t>
  </si>
  <si>
    <t>DA850 Gold</t>
  </si>
  <si>
    <t>Mid-range</t>
  </si>
  <si>
    <t>DA1000 Gold</t>
  </si>
  <si>
    <t>Century II Gold 850W</t>
  </si>
  <si>
    <t>5. Storage</t>
  </si>
  <si>
    <t>Drives</t>
  </si>
  <si>
    <t>Strong value ATX 3.0</t>
  </si>
  <si>
    <t>Century II Gold 1000W</t>
  </si>
  <si>
    <t>Titan Gold 850W</t>
  </si>
  <si>
    <t>Value flagship</t>
  </si>
  <si>
    <t>SP750 SFX</t>
  </si>
  <si>
    <t>EDGE 1000W</t>
  </si>
  <si>
    <t>HDD</t>
  </si>
  <si>
    <t>Clean-look enthusiast unit</t>
  </si>
  <si>
    <t>6. PSU</t>
  </si>
  <si>
    <t>Power Supplies (500-1000 W)</t>
  </si>
  <si>
    <t>500-599 W</t>
  </si>
  <si>
    <t>600-749 W</t>
  </si>
  <si>
    <t>750-849 W</t>
  </si>
  <si>
    <t>850-999 W</t>
  </si>
  <si>
    <t>1000 W</t>
  </si>
  <si>
    <t>80+ Gold or better</t>
  </si>
  <si>
    <t>7. Case</t>
  </si>
  <si>
    <t>Cases (Mid to Full Tower)</t>
  </si>
  <si>
    <t>Full / Super Tower</t>
  </si>
  <si>
    <t>8. CPU Cooler</t>
  </si>
  <si>
    <t>CPU Coolers</t>
  </si>
  <si>
    <t>Air</t>
  </si>
  <si>
    <t>TOTAL PARTS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</si>
</sst>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i/>
      <sz val="10"/>
      <color rgb="FF595959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FFFFFF"/>
      <name val="Arial"/>
    </font>
    <font>
      <sz val="11"/>
      <color theme="1"/>
      <name val="Calibri"/>
    </font>
    <font>
      <i/>
      <sz val="9"/>
      <color rgb="FF595959"/>
      <name val="Arial"/>
    </font>
    <font>
      <b/>
      <sz val="11"/>
      <color theme="1"/>
      <name val="Arial"/>
    </font>
    <font>
      <b/>
      <sz val="11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5FA"/>
        <bgColor rgb="FFF2F5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top" wrapText="1"/>
    </xf>
    <xf numFmtId="0" fontId="6" fillId="2" borderId="2" xfId="0" applyFont="1" applyFill="1" applyBorder="1" applyAlignment="1"/>
    <xf numFmtId="0" fontId="7" fillId="2" borderId="2" xfId="0" applyFont="1" applyFill="1" applyBorder="1" applyAlignment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8" fillId="0" borderId="0" xfId="0" applyFont="1" applyAlignme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7" fillId="3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/>
    <xf numFmtId="0" fontId="9" fillId="0" borderId="0" xfId="0" applyFont="1" applyAlignme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B1000"/>
  <sheetViews>
    <sheetView workbookViewId="0"/>
  </sheetViews>
  <sheetFormatPr defaultColWidth="14.42578125" defaultRowHeight="15" customHeight="1" x14ac:dyDescent="0.25"/>
  <cols>
    <col min="1" max="1" width="20" customWidth="1"/>
    <col min="2" max="2" width="100" customWidth="1"/>
    <col min="3" max="26" width="8.7109375" customWidth="1"/>
  </cols>
  <sheetData>
    <row r="1" spans="1:2" ht="18" x14ac:dyDescent="0.25">
      <c r="A1" s="1" t="s">
        <v>0</v>
      </c>
    </row>
    <row r="2" spans="1:2" x14ac:dyDescent="0.25">
      <c r="A2" s="3" t="s">
        <v>2</v>
      </c>
    </row>
    <row r="4" spans="1:2" x14ac:dyDescent="0.25">
      <c r="A4" s="4"/>
      <c r="B4" s="5"/>
    </row>
    <row r="5" spans="1:2" x14ac:dyDescent="0.25">
      <c r="A5" s="6" t="s">
        <v>12</v>
      </c>
      <c r="B5" s="7"/>
    </row>
    <row r="6" spans="1:2" ht="25.5" customHeight="1" x14ac:dyDescent="0.25">
      <c r="A6" s="4" t="s">
        <v>18</v>
      </c>
      <c r="B6" s="5" t="s">
        <v>19</v>
      </c>
    </row>
    <row r="7" spans="1:2" ht="15" customHeight="1" x14ac:dyDescent="0.25">
      <c r="A7" s="4" t="s">
        <v>20</v>
      </c>
      <c r="B7" s="5" t="s">
        <v>21</v>
      </c>
    </row>
    <row r="8" spans="1:2" ht="15" customHeight="1" x14ac:dyDescent="0.25">
      <c r="A8" s="4" t="s">
        <v>22</v>
      </c>
      <c r="B8" s="5" t="s">
        <v>24</v>
      </c>
    </row>
    <row r="9" spans="1:2" ht="15" customHeight="1" x14ac:dyDescent="0.25">
      <c r="A9" s="4" t="s">
        <v>29</v>
      </c>
      <c r="B9" s="5" t="s">
        <v>30</v>
      </c>
    </row>
    <row r="10" spans="1:2" ht="15" customHeight="1" x14ac:dyDescent="0.25">
      <c r="A10" s="4" t="s">
        <v>31</v>
      </c>
      <c r="B10" s="5" t="s">
        <v>32</v>
      </c>
    </row>
    <row r="11" spans="1:2" ht="15" customHeight="1" x14ac:dyDescent="0.25">
      <c r="A11" s="4" t="s">
        <v>33</v>
      </c>
      <c r="B11" s="5" t="s">
        <v>34</v>
      </c>
    </row>
    <row r="12" spans="1:2" ht="15" customHeight="1" x14ac:dyDescent="0.25">
      <c r="A12" s="4" t="s">
        <v>35</v>
      </c>
      <c r="B12" s="5" t="s">
        <v>37</v>
      </c>
    </row>
    <row r="13" spans="1:2" ht="15" customHeight="1" x14ac:dyDescent="0.25">
      <c r="A13" s="4" t="s">
        <v>39</v>
      </c>
      <c r="B13" s="5" t="s">
        <v>40</v>
      </c>
    </row>
    <row r="14" spans="1:2" x14ac:dyDescent="0.25">
      <c r="A14" s="4"/>
      <c r="B14" s="5"/>
    </row>
    <row r="15" spans="1:2" x14ac:dyDescent="0.25">
      <c r="A15" s="6" t="s">
        <v>45</v>
      </c>
      <c r="B15" s="7"/>
    </row>
    <row r="16" spans="1:2" ht="25.5" customHeight="1" x14ac:dyDescent="0.25">
      <c r="A16" s="4" t="s">
        <v>49</v>
      </c>
      <c r="B16" s="5" t="s">
        <v>50</v>
      </c>
    </row>
    <row r="17" spans="1:2" ht="25.5" customHeight="1" x14ac:dyDescent="0.25">
      <c r="A17" s="4" t="s">
        <v>53</v>
      </c>
      <c r="B17" s="5" t="s">
        <v>55</v>
      </c>
    </row>
    <row r="18" spans="1:2" ht="25.5" customHeight="1" x14ac:dyDescent="0.25">
      <c r="A18" s="4" t="s">
        <v>57</v>
      </c>
      <c r="B18" s="5" t="s">
        <v>60</v>
      </c>
    </row>
    <row r="19" spans="1:2" ht="25.5" customHeight="1" x14ac:dyDescent="0.25">
      <c r="A19" s="4" t="s">
        <v>63</v>
      </c>
      <c r="B19" s="5" t="s">
        <v>66</v>
      </c>
    </row>
    <row r="20" spans="1:2" x14ac:dyDescent="0.25">
      <c r="A20" s="4"/>
      <c r="B20" s="5"/>
    </row>
    <row r="21" spans="1:2" ht="15.75" customHeight="1" x14ac:dyDescent="0.25">
      <c r="A21" s="6" t="s">
        <v>68</v>
      </c>
      <c r="B21" s="7"/>
    </row>
    <row r="22" spans="1:2" ht="39" customHeight="1" x14ac:dyDescent="0.25">
      <c r="A22" s="4" t="s">
        <v>69</v>
      </c>
      <c r="B22" s="5" t="s">
        <v>70</v>
      </c>
    </row>
    <row r="23" spans="1:2" ht="25.5" customHeight="1" x14ac:dyDescent="0.25">
      <c r="A23" s="4" t="s">
        <v>73</v>
      </c>
      <c r="B23" s="5" t="s">
        <v>74</v>
      </c>
    </row>
    <row r="24" spans="1:2" ht="25.5" customHeight="1" x14ac:dyDescent="0.25">
      <c r="A24" s="4" t="s">
        <v>75</v>
      </c>
      <c r="B24" s="5" t="s">
        <v>77</v>
      </c>
    </row>
    <row r="25" spans="1:2" ht="39" customHeight="1" x14ac:dyDescent="0.25">
      <c r="A25" s="4" t="s">
        <v>80</v>
      </c>
      <c r="B25" s="5" t="s">
        <v>83</v>
      </c>
    </row>
    <row r="26" spans="1:2" ht="25.5" customHeight="1" x14ac:dyDescent="0.25">
      <c r="A26" s="4" t="s">
        <v>86</v>
      </c>
      <c r="B26" s="5" t="s">
        <v>87</v>
      </c>
    </row>
    <row r="27" spans="1:2" ht="25.5" customHeight="1" x14ac:dyDescent="0.25">
      <c r="A27" s="4" t="s">
        <v>90</v>
      </c>
      <c r="B27" s="5" t="s">
        <v>93</v>
      </c>
    </row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" customWidth="1"/>
    <col min="2" max="2" width="38" customWidth="1"/>
    <col min="3" max="3" width="21" customWidth="1"/>
    <col min="4" max="4" width="24" customWidth="1"/>
    <col min="5" max="7" width="10" customWidth="1"/>
    <col min="8" max="8" width="19" customWidth="1"/>
    <col min="9" max="9" width="20" customWidth="1"/>
    <col min="10" max="10" width="16" customWidth="1"/>
    <col min="11" max="11" width="15" customWidth="1"/>
    <col min="12" max="12" width="33" customWidth="1"/>
    <col min="13" max="13" width="24" customWidth="1"/>
    <col min="14" max="14" width="14" customWidth="1"/>
    <col min="15" max="26" width="8.7109375" customWidth="1"/>
  </cols>
  <sheetData>
    <row r="1" spans="1:14" ht="31.5" customHeight="1" x14ac:dyDescent="0.25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x14ac:dyDescent="0.25">
      <c r="A2" s="8" t="s">
        <v>17</v>
      </c>
      <c r="B2" s="8" t="s">
        <v>23</v>
      </c>
      <c r="C2" s="8" t="s">
        <v>25</v>
      </c>
      <c r="D2" s="8" t="s">
        <v>26</v>
      </c>
      <c r="E2" s="8" t="s">
        <v>27</v>
      </c>
      <c r="F2" s="9">
        <v>4</v>
      </c>
      <c r="G2" s="9">
        <v>8</v>
      </c>
      <c r="H2" s="9">
        <v>3.6</v>
      </c>
      <c r="I2" s="9">
        <v>4.3</v>
      </c>
      <c r="J2" s="9">
        <v>6</v>
      </c>
      <c r="K2" s="9">
        <v>65</v>
      </c>
      <c r="L2" s="8" t="s">
        <v>41</v>
      </c>
      <c r="M2" s="8" t="s">
        <v>44</v>
      </c>
      <c r="N2" s="9">
        <v>2020</v>
      </c>
    </row>
    <row r="3" spans="1:14" x14ac:dyDescent="0.25">
      <c r="A3" s="10" t="s">
        <v>17</v>
      </c>
      <c r="B3" s="10" t="s">
        <v>23</v>
      </c>
      <c r="C3" s="10" t="s">
        <v>61</v>
      </c>
      <c r="D3" s="10" t="s">
        <v>26</v>
      </c>
      <c r="E3" s="10" t="s">
        <v>27</v>
      </c>
      <c r="F3" s="11">
        <v>4</v>
      </c>
      <c r="G3" s="11">
        <v>8</v>
      </c>
      <c r="H3" s="11">
        <v>3.6</v>
      </c>
      <c r="I3" s="11">
        <v>4.3</v>
      </c>
      <c r="J3" s="11">
        <v>6</v>
      </c>
      <c r="K3" s="11">
        <v>65</v>
      </c>
      <c r="L3" s="10" t="s">
        <v>84</v>
      </c>
      <c r="M3" s="10" t="s">
        <v>44</v>
      </c>
      <c r="N3" s="11">
        <v>2020</v>
      </c>
    </row>
    <row r="4" spans="1:14" x14ac:dyDescent="0.25">
      <c r="A4" s="8" t="s">
        <v>17</v>
      </c>
      <c r="B4" s="8" t="s">
        <v>23</v>
      </c>
      <c r="C4" s="8" t="s">
        <v>95</v>
      </c>
      <c r="D4" s="8" t="s">
        <v>26</v>
      </c>
      <c r="E4" s="8" t="s">
        <v>27</v>
      </c>
      <c r="F4" s="9">
        <v>4</v>
      </c>
      <c r="G4" s="9">
        <v>8</v>
      </c>
      <c r="H4" s="9">
        <v>3.7</v>
      </c>
      <c r="I4" s="9">
        <v>4.4000000000000004</v>
      </c>
      <c r="J4" s="9">
        <v>6</v>
      </c>
      <c r="K4" s="9">
        <v>65</v>
      </c>
      <c r="L4" s="8" t="s">
        <v>41</v>
      </c>
      <c r="M4" s="8" t="s">
        <v>44</v>
      </c>
      <c r="N4" s="9">
        <v>2021</v>
      </c>
    </row>
    <row r="5" spans="1:14" x14ac:dyDescent="0.25">
      <c r="A5" s="10" t="s">
        <v>17</v>
      </c>
      <c r="B5" s="10" t="s">
        <v>23</v>
      </c>
      <c r="C5" s="10" t="s">
        <v>101</v>
      </c>
      <c r="D5" s="10" t="s">
        <v>26</v>
      </c>
      <c r="E5" s="10" t="s">
        <v>27</v>
      </c>
      <c r="F5" s="11">
        <v>4</v>
      </c>
      <c r="G5" s="11">
        <v>8</v>
      </c>
      <c r="H5" s="11">
        <v>3.7</v>
      </c>
      <c r="I5" s="11">
        <v>4.4000000000000004</v>
      </c>
      <c r="J5" s="11">
        <v>6</v>
      </c>
      <c r="K5" s="11">
        <v>65</v>
      </c>
      <c r="L5" s="10" t="s">
        <v>84</v>
      </c>
      <c r="M5" s="10" t="s">
        <v>44</v>
      </c>
      <c r="N5" s="11">
        <v>2021</v>
      </c>
    </row>
    <row r="6" spans="1:14" x14ac:dyDescent="0.25">
      <c r="A6" s="8" t="s">
        <v>17</v>
      </c>
      <c r="B6" s="8" t="s">
        <v>23</v>
      </c>
      <c r="C6" s="8" t="s">
        <v>107</v>
      </c>
      <c r="D6" s="8" t="s">
        <v>26</v>
      </c>
      <c r="E6" s="8" t="s">
        <v>27</v>
      </c>
      <c r="F6" s="9">
        <v>4</v>
      </c>
      <c r="G6" s="9">
        <v>8</v>
      </c>
      <c r="H6" s="9">
        <v>3.7</v>
      </c>
      <c r="I6" s="9">
        <v>4.4000000000000004</v>
      </c>
      <c r="J6" s="9">
        <v>8</v>
      </c>
      <c r="K6" s="9">
        <v>65</v>
      </c>
      <c r="L6" s="8" t="s">
        <v>41</v>
      </c>
      <c r="M6" s="8" t="s">
        <v>44</v>
      </c>
      <c r="N6" s="9">
        <v>2020</v>
      </c>
    </row>
    <row r="7" spans="1:14" x14ac:dyDescent="0.25">
      <c r="A7" s="10" t="s">
        <v>17</v>
      </c>
      <c r="B7" s="10" t="s">
        <v>23</v>
      </c>
      <c r="C7" s="10" t="s">
        <v>120</v>
      </c>
      <c r="D7" s="10" t="s">
        <v>26</v>
      </c>
      <c r="E7" s="10" t="s">
        <v>27</v>
      </c>
      <c r="F7" s="11">
        <v>4</v>
      </c>
      <c r="G7" s="11">
        <v>8</v>
      </c>
      <c r="H7" s="11">
        <v>3.8</v>
      </c>
      <c r="I7" s="11">
        <v>4.5999999999999996</v>
      </c>
      <c r="J7" s="11">
        <v>8</v>
      </c>
      <c r="K7" s="11">
        <v>65</v>
      </c>
      <c r="L7" s="10" t="s">
        <v>41</v>
      </c>
      <c r="M7" s="10" t="s">
        <v>44</v>
      </c>
      <c r="N7" s="11">
        <v>2020</v>
      </c>
    </row>
    <row r="8" spans="1:14" x14ac:dyDescent="0.25">
      <c r="A8" s="8" t="s">
        <v>17</v>
      </c>
      <c r="B8" s="8" t="s">
        <v>23</v>
      </c>
      <c r="C8" s="8" t="s">
        <v>125</v>
      </c>
      <c r="D8" s="8" t="s">
        <v>26</v>
      </c>
      <c r="E8" s="8" t="s">
        <v>27</v>
      </c>
      <c r="F8" s="9">
        <v>6</v>
      </c>
      <c r="G8" s="9">
        <v>12</v>
      </c>
      <c r="H8" s="9">
        <v>2.9</v>
      </c>
      <c r="I8" s="9">
        <v>4.3</v>
      </c>
      <c r="J8" s="9">
        <v>12</v>
      </c>
      <c r="K8" s="9">
        <v>65</v>
      </c>
      <c r="L8" s="8" t="s">
        <v>41</v>
      </c>
      <c r="M8" s="8" t="s">
        <v>44</v>
      </c>
      <c r="N8" s="9">
        <v>2020</v>
      </c>
    </row>
    <row r="9" spans="1:14" x14ac:dyDescent="0.25">
      <c r="A9" s="10" t="s">
        <v>17</v>
      </c>
      <c r="B9" s="10" t="s">
        <v>23</v>
      </c>
      <c r="C9" s="10" t="s">
        <v>132</v>
      </c>
      <c r="D9" s="10" t="s">
        <v>26</v>
      </c>
      <c r="E9" s="10" t="s">
        <v>27</v>
      </c>
      <c r="F9" s="11">
        <v>6</v>
      </c>
      <c r="G9" s="11">
        <v>12</v>
      </c>
      <c r="H9" s="11">
        <v>2.9</v>
      </c>
      <c r="I9" s="11">
        <v>4.3</v>
      </c>
      <c r="J9" s="11">
        <v>12</v>
      </c>
      <c r="K9" s="11">
        <v>65</v>
      </c>
      <c r="L9" s="10" t="s">
        <v>84</v>
      </c>
      <c r="M9" s="10" t="s">
        <v>44</v>
      </c>
      <c r="N9" s="11">
        <v>2020</v>
      </c>
    </row>
    <row r="10" spans="1:14" x14ac:dyDescent="0.25">
      <c r="A10" s="8" t="s">
        <v>17</v>
      </c>
      <c r="B10" s="8" t="s">
        <v>23</v>
      </c>
      <c r="C10" s="8" t="s">
        <v>138</v>
      </c>
      <c r="D10" s="8" t="s">
        <v>26</v>
      </c>
      <c r="E10" s="8" t="s">
        <v>27</v>
      </c>
      <c r="F10" s="9">
        <v>6</v>
      </c>
      <c r="G10" s="9">
        <v>12</v>
      </c>
      <c r="H10" s="9">
        <v>3.1</v>
      </c>
      <c r="I10" s="9">
        <v>4.5</v>
      </c>
      <c r="J10" s="9">
        <v>12</v>
      </c>
      <c r="K10" s="9">
        <v>65</v>
      </c>
      <c r="L10" s="8" t="s">
        <v>41</v>
      </c>
      <c r="M10" s="8" t="s">
        <v>44</v>
      </c>
      <c r="N10" s="9">
        <v>2020</v>
      </c>
    </row>
    <row r="11" spans="1:14" x14ac:dyDescent="0.25">
      <c r="A11" s="10" t="s">
        <v>17</v>
      </c>
      <c r="B11" s="10" t="s">
        <v>23</v>
      </c>
      <c r="C11" s="10" t="s">
        <v>146</v>
      </c>
      <c r="D11" s="10" t="s">
        <v>26</v>
      </c>
      <c r="E11" s="10" t="s">
        <v>27</v>
      </c>
      <c r="F11" s="11">
        <v>6</v>
      </c>
      <c r="G11" s="11">
        <v>12</v>
      </c>
      <c r="H11" s="11">
        <v>3.3</v>
      </c>
      <c r="I11" s="11">
        <v>4.8</v>
      </c>
      <c r="J11" s="11">
        <v>12</v>
      </c>
      <c r="K11" s="11">
        <v>65</v>
      </c>
      <c r="L11" s="10" t="s">
        <v>41</v>
      </c>
      <c r="M11" s="10" t="s">
        <v>44</v>
      </c>
      <c r="N11" s="11">
        <v>2020</v>
      </c>
    </row>
    <row r="12" spans="1:14" x14ac:dyDescent="0.25">
      <c r="A12" s="8" t="s">
        <v>17</v>
      </c>
      <c r="B12" s="8" t="s">
        <v>23</v>
      </c>
      <c r="C12" s="8" t="s">
        <v>155</v>
      </c>
      <c r="D12" s="8" t="s">
        <v>26</v>
      </c>
      <c r="E12" s="8" t="s">
        <v>27</v>
      </c>
      <c r="F12" s="9">
        <v>6</v>
      </c>
      <c r="G12" s="9">
        <v>12</v>
      </c>
      <c r="H12" s="9">
        <v>4.0999999999999996</v>
      </c>
      <c r="I12" s="9">
        <v>4.8</v>
      </c>
      <c r="J12" s="9">
        <v>12</v>
      </c>
      <c r="K12" s="9">
        <v>125</v>
      </c>
      <c r="L12" s="8" t="s">
        <v>41</v>
      </c>
      <c r="M12" s="8" t="s">
        <v>44</v>
      </c>
      <c r="N12" s="9">
        <v>2020</v>
      </c>
    </row>
    <row r="13" spans="1:14" x14ac:dyDescent="0.25">
      <c r="A13" s="10" t="s">
        <v>17</v>
      </c>
      <c r="B13" s="10" t="s">
        <v>23</v>
      </c>
      <c r="C13" s="10" t="s">
        <v>160</v>
      </c>
      <c r="D13" s="10" t="s">
        <v>26</v>
      </c>
      <c r="E13" s="10" t="s">
        <v>27</v>
      </c>
      <c r="F13" s="11">
        <v>6</v>
      </c>
      <c r="G13" s="11">
        <v>12</v>
      </c>
      <c r="H13" s="11">
        <v>4.0999999999999996</v>
      </c>
      <c r="I13" s="11">
        <v>4.8</v>
      </c>
      <c r="J13" s="11">
        <v>12</v>
      </c>
      <c r="K13" s="11">
        <v>125</v>
      </c>
      <c r="L13" s="10" t="s">
        <v>84</v>
      </c>
      <c r="M13" s="10" t="s">
        <v>44</v>
      </c>
      <c r="N13" s="11">
        <v>2020</v>
      </c>
    </row>
    <row r="14" spans="1:14" x14ac:dyDescent="0.25">
      <c r="A14" s="8" t="s">
        <v>17</v>
      </c>
      <c r="B14" s="8" t="s">
        <v>23</v>
      </c>
      <c r="C14" s="8" t="s">
        <v>167</v>
      </c>
      <c r="D14" s="8" t="s">
        <v>26</v>
      </c>
      <c r="E14" s="8" t="s">
        <v>27</v>
      </c>
      <c r="F14" s="9">
        <v>8</v>
      </c>
      <c r="G14" s="9">
        <v>16</v>
      </c>
      <c r="H14" s="9">
        <v>2.9</v>
      </c>
      <c r="I14" s="9">
        <v>4.8</v>
      </c>
      <c r="J14" s="9">
        <v>16</v>
      </c>
      <c r="K14" s="9">
        <v>65</v>
      </c>
      <c r="L14" s="8" t="s">
        <v>41</v>
      </c>
      <c r="M14" s="8" t="s">
        <v>173</v>
      </c>
      <c r="N14" s="9">
        <v>2020</v>
      </c>
    </row>
    <row r="15" spans="1:14" x14ac:dyDescent="0.25">
      <c r="A15" s="10" t="s">
        <v>17</v>
      </c>
      <c r="B15" s="10" t="s">
        <v>23</v>
      </c>
      <c r="C15" s="10" t="s">
        <v>186</v>
      </c>
      <c r="D15" s="10" t="s">
        <v>26</v>
      </c>
      <c r="E15" s="10" t="s">
        <v>27</v>
      </c>
      <c r="F15" s="11">
        <v>8</v>
      </c>
      <c r="G15" s="11">
        <v>16</v>
      </c>
      <c r="H15" s="11">
        <v>2.9</v>
      </c>
      <c r="I15" s="11">
        <v>4.8</v>
      </c>
      <c r="J15" s="11">
        <v>16</v>
      </c>
      <c r="K15" s="11">
        <v>65</v>
      </c>
      <c r="L15" s="10" t="s">
        <v>84</v>
      </c>
      <c r="M15" s="10" t="s">
        <v>173</v>
      </c>
      <c r="N15" s="11">
        <v>2020</v>
      </c>
    </row>
    <row r="16" spans="1:14" x14ac:dyDescent="0.25">
      <c r="A16" s="8" t="s">
        <v>17</v>
      </c>
      <c r="B16" s="8" t="s">
        <v>23</v>
      </c>
      <c r="C16" s="8" t="s">
        <v>197</v>
      </c>
      <c r="D16" s="8" t="s">
        <v>26</v>
      </c>
      <c r="E16" s="8" t="s">
        <v>27</v>
      </c>
      <c r="F16" s="9">
        <v>8</v>
      </c>
      <c r="G16" s="9">
        <v>16</v>
      </c>
      <c r="H16" s="9">
        <v>3.8</v>
      </c>
      <c r="I16" s="9">
        <v>5.0999999999999996</v>
      </c>
      <c r="J16" s="9">
        <v>16</v>
      </c>
      <c r="K16" s="9">
        <v>125</v>
      </c>
      <c r="L16" s="8" t="s">
        <v>41</v>
      </c>
      <c r="M16" s="8" t="s">
        <v>173</v>
      </c>
      <c r="N16" s="9">
        <v>2020</v>
      </c>
    </row>
    <row r="17" spans="1:14" x14ac:dyDescent="0.25">
      <c r="A17" s="10" t="s">
        <v>17</v>
      </c>
      <c r="B17" s="10" t="s">
        <v>23</v>
      </c>
      <c r="C17" s="10" t="s">
        <v>210</v>
      </c>
      <c r="D17" s="10" t="s">
        <v>26</v>
      </c>
      <c r="E17" s="10" t="s">
        <v>27</v>
      </c>
      <c r="F17" s="11">
        <v>8</v>
      </c>
      <c r="G17" s="11">
        <v>16</v>
      </c>
      <c r="H17" s="11">
        <v>3.8</v>
      </c>
      <c r="I17" s="11">
        <v>5.0999999999999996</v>
      </c>
      <c r="J17" s="11">
        <v>16</v>
      </c>
      <c r="K17" s="11">
        <v>125</v>
      </c>
      <c r="L17" s="10" t="s">
        <v>84</v>
      </c>
      <c r="M17" s="10" t="s">
        <v>173</v>
      </c>
      <c r="N17" s="11">
        <v>2020</v>
      </c>
    </row>
    <row r="18" spans="1:14" x14ac:dyDescent="0.25">
      <c r="A18" s="8" t="s">
        <v>17</v>
      </c>
      <c r="B18" s="8" t="s">
        <v>23</v>
      </c>
      <c r="C18" s="8" t="s">
        <v>220</v>
      </c>
      <c r="D18" s="8" t="s">
        <v>26</v>
      </c>
      <c r="E18" s="8" t="s">
        <v>27</v>
      </c>
      <c r="F18" s="9">
        <v>10</v>
      </c>
      <c r="G18" s="9">
        <v>20</v>
      </c>
      <c r="H18" s="9">
        <v>3.6</v>
      </c>
      <c r="I18" s="9">
        <v>5.2</v>
      </c>
      <c r="J18" s="9">
        <v>20</v>
      </c>
      <c r="K18" s="9">
        <v>125</v>
      </c>
      <c r="L18" s="8" t="s">
        <v>41</v>
      </c>
      <c r="M18" s="8" t="s">
        <v>173</v>
      </c>
      <c r="N18" s="9">
        <v>2020</v>
      </c>
    </row>
    <row r="19" spans="1:14" x14ac:dyDescent="0.25">
      <c r="A19" s="10" t="s">
        <v>17</v>
      </c>
      <c r="B19" s="10" t="s">
        <v>23</v>
      </c>
      <c r="C19" s="10" t="s">
        <v>230</v>
      </c>
      <c r="D19" s="10" t="s">
        <v>26</v>
      </c>
      <c r="E19" s="10" t="s">
        <v>27</v>
      </c>
      <c r="F19" s="11">
        <v>10</v>
      </c>
      <c r="G19" s="11">
        <v>20</v>
      </c>
      <c r="H19" s="11">
        <v>2.8</v>
      </c>
      <c r="I19" s="11">
        <v>5.2</v>
      </c>
      <c r="J19" s="11">
        <v>20</v>
      </c>
      <c r="K19" s="11">
        <v>65</v>
      </c>
      <c r="L19" s="10" t="s">
        <v>41</v>
      </c>
      <c r="M19" s="10" t="s">
        <v>173</v>
      </c>
      <c r="N19" s="11">
        <v>2020</v>
      </c>
    </row>
    <row r="20" spans="1:14" x14ac:dyDescent="0.25">
      <c r="A20" s="8" t="s">
        <v>17</v>
      </c>
      <c r="B20" s="8" t="s">
        <v>23</v>
      </c>
      <c r="C20" s="8" t="s">
        <v>246</v>
      </c>
      <c r="D20" s="8" t="s">
        <v>26</v>
      </c>
      <c r="E20" s="8" t="s">
        <v>27</v>
      </c>
      <c r="F20" s="9">
        <v>10</v>
      </c>
      <c r="G20" s="9">
        <v>20</v>
      </c>
      <c r="H20" s="9">
        <v>2.8</v>
      </c>
      <c r="I20" s="9">
        <v>5.2</v>
      </c>
      <c r="J20" s="9">
        <v>20</v>
      </c>
      <c r="K20" s="9">
        <v>65</v>
      </c>
      <c r="L20" s="8" t="s">
        <v>84</v>
      </c>
      <c r="M20" s="8" t="s">
        <v>173</v>
      </c>
      <c r="N20" s="9">
        <v>2020</v>
      </c>
    </row>
    <row r="21" spans="1:14" ht="15.75" customHeight="1" x14ac:dyDescent="0.25">
      <c r="A21" s="10" t="s">
        <v>17</v>
      </c>
      <c r="B21" s="10" t="s">
        <v>23</v>
      </c>
      <c r="C21" s="10" t="s">
        <v>254</v>
      </c>
      <c r="D21" s="10" t="s">
        <v>26</v>
      </c>
      <c r="E21" s="10" t="s">
        <v>27</v>
      </c>
      <c r="F21" s="11">
        <v>10</v>
      </c>
      <c r="G21" s="11">
        <v>20</v>
      </c>
      <c r="H21" s="11">
        <v>3.7</v>
      </c>
      <c r="I21" s="11">
        <v>5.3</v>
      </c>
      <c r="J21" s="11">
        <v>20</v>
      </c>
      <c r="K21" s="11">
        <v>125</v>
      </c>
      <c r="L21" s="10" t="s">
        <v>41</v>
      </c>
      <c r="M21" s="10" t="s">
        <v>173</v>
      </c>
      <c r="N21" s="11">
        <v>2020</v>
      </c>
    </row>
    <row r="22" spans="1:14" ht="15.75" customHeight="1" x14ac:dyDescent="0.25">
      <c r="A22" s="8" t="s">
        <v>17</v>
      </c>
      <c r="B22" s="8" t="s">
        <v>23</v>
      </c>
      <c r="C22" s="8" t="s">
        <v>264</v>
      </c>
      <c r="D22" s="8" t="s">
        <v>26</v>
      </c>
      <c r="E22" s="8" t="s">
        <v>27</v>
      </c>
      <c r="F22" s="9">
        <v>10</v>
      </c>
      <c r="G22" s="9">
        <v>20</v>
      </c>
      <c r="H22" s="9">
        <v>3.7</v>
      </c>
      <c r="I22" s="9">
        <v>5.3</v>
      </c>
      <c r="J22" s="9">
        <v>20</v>
      </c>
      <c r="K22" s="9">
        <v>125</v>
      </c>
      <c r="L22" s="8" t="s">
        <v>84</v>
      </c>
      <c r="M22" s="8" t="s">
        <v>173</v>
      </c>
      <c r="N22" s="9">
        <v>2020</v>
      </c>
    </row>
    <row r="23" spans="1:14" ht="15.75" customHeight="1" x14ac:dyDescent="0.25">
      <c r="A23" s="10" t="s">
        <v>17</v>
      </c>
      <c r="B23" s="10" t="s">
        <v>272</v>
      </c>
      <c r="C23" s="10" t="s">
        <v>274</v>
      </c>
      <c r="D23" s="10" t="s">
        <v>275</v>
      </c>
      <c r="E23" s="10" t="s">
        <v>27</v>
      </c>
      <c r="F23" s="11">
        <v>6</v>
      </c>
      <c r="G23" s="11">
        <v>12</v>
      </c>
      <c r="H23" s="11">
        <v>2.6</v>
      </c>
      <c r="I23" s="11">
        <v>4.4000000000000004</v>
      </c>
      <c r="J23" s="11">
        <v>12</v>
      </c>
      <c r="K23" s="11">
        <v>65</v>
      </c>
      <c r="L23" s="10" t="s">
        <v>281</v>
      </c>
      <c r="M23" s="10" t="s">
        <v>284</v>
      </c>
      <c r="N23" s="11">
        <v>2021</v>
      </c>
    </row>
    <row r="24" spans="1:14" ht="15.75" customHeight="1" x14ac:dyDescent="0.25">
      <c r="A24" s="8" t="s">
        <v>17</v>
      </c>
      <c r="B24" s="8" t="s">
        <v>272</v>
      </c>
      <c r="C24" s="8" t="s">
        <v>288</v>
      </c>
      <c r="D24" s="8" t="s">
        <v>275</v>
      </c>
      <c r="E24" s="8" t="s">
        <v>27</v>
      </c>
      <c r="F24" s="9">
        <v>6</v>
      </c>
      <c r="G24" s="9">
        <v>12</v>
      </c>
      <c r="H24" s="9">
        <v>2.6</v>
      </c>
      <c r="I24" s="9">
        <v>4.4000000000000004</v>
      </c>
      <c r="J24" s="9">
        <v>12</v>
      </c>
      <c r="K24" s="9">
        <v>65</v>
      </c>
      <c r="L24" s="8" t="s">
        <v>84</v>
      </c>
      <c r="M24" s="8" t="s">
        <v>284</v>
      </c>
      <c r="N24" s="9">
        <v>2021</v>
      </c>
    </row>
    <row r="25" spans="1:14" ht="15.75" customHeight="1" x14ac:dyDescent="0.25">
      <c r="A25" s="10" t="s">
        <v>17</v>
      </c>
      <c r="B25" s="10" t="s">
        <v>272</v>
      </c>
      <c r="C25" s="10" t="s">
        <v>298</v>
      </c>
      <c r="D25" s="10" t="s">
        <v>275</v>
      </c>
      <c r="E25" s="10" t="s">
        <v>27</v>
      </c>
      <c r="F25" s="11">
        <v>6</v>
      </c>
      <c r="G25" s="11">
        <v>12</v>
      </c>
      <c r="H25" s="11">
        <v>2.7</v>
      </c>
      <c r="I25" s="11">
        <v>4.5999999999999996</v>
      </c>
      <c r="J25" s="11">
        <v>12</v>
      </c>
      <c r="K25" s="11">
        <v>65</v>
      </c>
      <c r="L25" s="10" t="s">
        <v>301</v>
      </c>
      <c r="M25" s="10" t="s">
        <v>284</v>
      </c>
      <c r="N25" s="11">
        <v>2021</v>
      </c>
    </row>
    <row r="26" spans="1:14" ht="15.75" customHeight="1" x14ac:dyDescent="0.25">
      <c r="A26" s="8" t="s">
        <v>17</v>
      </c>
      <c r="B26" s="8" t="s">
        <v>272</v>
      </c>
      <c r="C26" s="8" t="s">
        <v>307</v>
      </c>
      <c r="D26" s="8" t="s">
        <v>275</v>
      </c>
      <c r="E26" s="8" t="s">
        <v>27</v>
      </c>
      <c r="F26" s="9">
        <v>6</v>
      </c>
      <c r="G26" s="9">
        <v>12</v>
      </c>
      <c r="H26" s="9">
        <v>2.8</v>
      </c>
      <c r="I26" s="9">
        <v>4.8</v>
      </c>
      <c r="J26" s="9">
        <v>12</v>
      </c>
      <c r="K26" s="9">
        <v>65</v>
      </c>
      <c r="L26" s="8" t="s">
        <v>301</v>
      </c>
      <c r="M26" s="8" t="s">
        <v>284</v>
      </c>
      <c r="N26" s="9">
        <v>2021</v>
      </c>
    </row>
    <row r="27" spans="1:14" ht="15.75" customHeight="1" x14ac:dyDescent="0.25">
      <c r="A27" s="10" t="s">
        <v>17</v>
      </c>
      <c r="B27" s="10" t="s">
        <v>272</v>
      </c>
      <c r="C27" s="10" t="s">
        <v>317</v>
      </c>
      <c r="D27" s="10" t="s">
        <v>275</v>
      </c>
      <c r="E27" s="10" t="s">
        <v>27</v>
      </c>
      <c r="F27" s="11">
        <v>6</v>
      </c>
      <c r="G27" s="11">
        <v>12</v>
      </c>
      <c r="H27" s="11">
        <v>3.9</v>
      </c>
      <c r="I27" s="11">
        <v>4.9000000000000004</v>
      </c>
      <c r="J27" s="11">
        <v>12</v>
      </c>
      <c r="K27" s="11">
        <v>125</v>
      </c>
      <c r="L27" s="10" t="s">
        <v>301</v>
      </c>
      <c r="M27" s="10" t="s">
        <v>284</v>
      </c>
      <c r="N27" s="11">
        <v>2021</v>
      </c>
    </row>
    <row r="28" spans="1:14" ht="15.75" customHeight="1" x14ac:dyDescent="0.25">
      <c r="A28" s="8" t="s">
        <v>17</v>
      </c>
      <c r="B28" s="8" t="s">
        <v>272</v>
      </c>
      <c r="C28" s="8" t="s">
        <v>336</v>
      </c>
      <c r="D28" s="8" t="s">
        <v>275</v>
      </c>
      <c r="E28" s="8" t="s">
        <v>27</v>
      </c>
      <c r="F28" s="9">
        <v>6</v>
      </c>
      <c r="G28" s="9">
        <v>12</v>
      </c>
      <c r="H28" s="9">
        <v>3.9</v>
      </c>
      <c r="I28" s="9">
        <v>4.9000000000000004</v>
      </c>
      <c r="J28" s="9">
        <v>12</v>
      </c>
      <c r="K28" s="9">
        <v>125</v>
      </c>
      <c r="L28" s="8" t="s">
        <v>84</v>
      </c>
      <c r="M28" s="8" t="s">
        <v>284</v>
      </c>
      <c r="N28" s="9">
        <v>2021</v>
      </c>
    </row>
    <row r="29" spans="1:14" ht="15.75" customHeight="1" x14ac:dyDescent="0.25">
      <c r="A29" s="10" t="s">
        <v>17</v>
      </c>
      <c r="B29" s="10" t="s">
        <v>272</v>
      </c>
      <c r="C29" s="10" t="s">
        <v>347</v>
      </c>
      <c r="D29" s="10" t="s">
        <v>275</v>
      </c>
      <c r="E29" s="10" t="s">
        <v>27</v>
      </c>
      <c r="F29" s="11">
        <v>8</v>
      </c>
      <c r="G29" s="11">
        <v>16</v>
      </c>
      <c r="H29" s="11">
        <v>2.5</v>
      </c>
      <c r="I29" s="11">
        <v>4.9000000000000004</v>
      </c>
      <c r="J29" s="11">
        <v>16</v>
      </c>
      <c r="K29" s="11">
        <v>65</v>
      </c>
      <c r="L29" s="10" t="s">
        <v>301</v>
      </c>
      <c r="M29" s="10" t="s">
        <v>284</v>
      </c>
      <c r="N29" s="11">
        <v>2021</v>
      </c>
    </row>
    <row r="30" spans="1:14" ht="15.75" customHeight="1" x14ac:dyDescent="0.25">
      <c r="A30" s="8" t="s">
        <v>17</v>
      </c>
      <c r="B30" s="8" t="s">
        <v>272</v>
      </c>
      <c r="C30" s="8" t="s">
        <v>357</v>
      </c>
      <c r="D30" s="8" t="s">
        <v>275</v>
      </c>
      <c r="E30" s="8" t="s">
        <v>27</v>
      </c>
      <c r="F30" s="9">
        <v>8</v>
      </c>
      <c r="G30" s="9">
        <v>16</v>
      </c>
      <c r="H30" s="9">
        <v>2.5</v>
      </c>
      <c r="I30" s="9">
        <v>4.9000000000000004</v>
      </c>
      <c r="J30" s="9">
        <v>16</v>
      </c>
      <c r="K30" s="9">
        <v>65</v>
      </c>
      <c r="L30" s="8" t="s">
        <v>84</v>
      </c>
      <c r="M30" s="8" t="s">
        <v>284</v>
      </c>
      <c r="N30" s="9">
        <v>2021</v>
      </c>
    </row>
    <row r="31" spans="1:14" ht="15.75" customHeight="1" x14ac:dyDescent="0.25">
      <c r="A31" s="10" t="s">
        <v>17</v>
      </c>
      <c r="B31" s="10" t="s">
        <v>272</v>
      </c>
      <c r="C31" s="10" t="s">
        <v>365</v>
      </c>
      <c r="D31" s="10" t="s">
        <v>275</v>
      </c>
      <c r="E31" s="10" t="s">
        <v>27</v>
      </c>
      <c r="F31" s="11">
        <v>8</v>
      </c>
      <c r="G31" s="11">
        <v>16</v>
      </c>
      <c r="H31" s="11">
        <v>3.6</v>
      </c>
      <c r="I31" s="11">
        <v>5</v>
      </c>
      <c r="J31" s="11">
        <v>16</v>
      </c>
      <c r="K31" s="11">
        <v>125</v>
      </c>
      <c r="L31" s="10" t="s">
        <v>301</v>
      </c>
      <c r="M31" s="10" t="s">
        <v>284</v>
      </c>
      <c r="N31" s="11">
        <v>2021</v>
      </c>
    </row>
    <row r="32" spans="1:14" ht="15.75" customHeight="1" x14ac:dyDescent="0.25">
      <c r="A32" s="8" t="s">
        <v>17</v>
      </c>
      <c r="B32" s="8" t="s">
        <v>272</v>
      </c>
      <c r="C32" s="8" t="s">
        <v>375</v>
      </c>
      <c r="D32" s="8" t="s">
        <v>275</v>
      </c>
      <c r="E32" s="8" t="s">
        <v>27</v>
      </c>
      <c r="F32" s="9">
        <v>8</v>
      </c>
      <c r="G32" s="9">
        <v>16</v>
      </c>
      <c r="H32" s="9">
        <v>3.6</v>
      </c>
      <c r="I32" s="9">
        <v>5</v>
      </c>
      <c r="J32" s="9">
        <v>16</v>
      </c>
      <c r="K32" s="9">
        <v>125</v>
      </c>
      <c r="L32" s="8" t="s">
        <v>84</v>
      </c>
      <c r="M32" s="8" t="s">
        <v>284</v>
      </c>
      <c r="N32" s="9">
        <v>2021</v>
      </c>
    </row>
    <row r="33" spans="1:14" ht="15.75" customHeight="1" x14ac:dyDescent="0.25">
      <c r="A33" s="10" t="s">
        <v>17</v>
      </c>
      <c r="B33" s="10" t="s">
        <v>272</v>
      </c>
      <c r="C33" s="10" t="s">
        <v>387</v>
      </c>
      <c r="D33" s="10" t="s">
        <v>275</v>
      </c>
      <c r="E33" s="10" t="s">
        <v>27</v>
      </c>
      <c r="F33" s="11">
        <v>8</v>
      </c>
      <c r="G33" s="11">
        <v>16</v>
      </c>
      <c r="H33" s="11">
        <v>2.5</v>
      </c>
      <c r="I33" s="11">
        <v>5.2</v>
      </c>
      <c r="J33" s="11">
        <v>16</v>
      </c>
      <c r="K33" s="11">
        <v>65</v>
      </c>
      <c r="L33" s="10" t="s">
        <v>301</v>
      </c>
      <c r="M33" s="10" t="s">
        <v>284</v>
      </c>
      <c r="N33" s="11">
        <v>2021</v>
      </c>
    </row>
    <row r="34" spans="1:14" ht="15.75" customHeight="1" x14ac:dyDescent="0.25">
      <c r="A34" s="8" t="s">
        <v>17</v>
      </c>
      <c r="B34" s="8" t="s">
        <v>272</v>
      </c>
      <c r="C34" s="8" t="s">
        <v>396</v>
      </c>
      <c r="D34" s="8" t="s">
        <v>275</v>
      </c>
      <c r="E34" s="8" t="s">
        <v>27</v>
      </c>
      <c r="F34" s="9">
        <v>8</v>
      </c>
      <c r="G34" s="9">
        <v>16</v>
      </c>
      <c r="H34" s="9">
        <v>2.5</v>
      </c>
      <c r="I34" s="9">
        <v>5.2</v>
      </c>
      <c r="J34" s="9">
        <v>16</v>
      </c>
      <c r="K34" s="9">
        <v>65</v>
      </c>
      <c r="L34" s="8" t="s">
        <v>84</v>
      </c>
      <c r="M34" s="8" t="s">
        <v>284</v>
      </c>
      <c r="N34" s="9">
        <v>2021</v>
      </c>
    </row>
    <row r="35" spans="1:14" ht="15.75" customHeight="1" x14ac:dyDescent="0.25">
      <c r="A35" s="10" t="s">
        <v>17</v>
      </c>
      <c r="B35" s="10" t="s">
        <v>272</v>
      </c>
      <c r="C35" s="10" t="s">
        <v>407</v>
      </c>
      <c r="D35" s="10" t="s">
        <v>275</v>
      </c>
      <c r="E35" s="10" t="s">
        <v>27</v>
      </c>
      <c r="F35" s="11">
        <v>8</v>
      </c>
      <c r="G35" s="11">
        <v>16</v>
      </c>
      <c r="H35" s="11">
        <v>3.5</v>
      </c>
      <c r="I35" s="11">
        <v>5.3</v>
      </c>
      <c r="J35" s="11">
        <v>16</v>
      </c>
      <c r="K35" s="11">
        <v>125</v>
      </c>
      <c r="L35" s="10" t="s">
        <v>301</v>
      </c>
      <c r="M35" s="10" t="s">
        <v>284</v>
      </c>
      <c r="N35" s="11">
        <v>2021</v>
      </c>
    </row>
    <row r="36" spans="1:14" ht="15.75" customHeight="1" x14ac:dyDescent="0.25">
      <c r="A36" s="8" t="s">
        <v>17</v>
      </c>
      <c r="B36" s="8" t="s">
        <v>272</v>
      </c>
      <c r="C36" s="8" t="s">
        <v>420</v>
      </c>
      <c r="D36" s="8" t="s">
        <v>275</v>
      </c>
      <c r="E36" s="8" t="s">
        <v>27</v>
      </c>
      <c r="F36" s="9">
        <v>8</v>
      </c>
      <c r="G36" s="9">
        <v>16</v>
      </c>
      <c r="H36" s="9">
        <v>3.5</v>
      </c>
      <c r="I36" s="9">
        <v>5.3</v>
      </c>
      <c r="J36" s="9">
        <v>16</v>
      </c>
      <c r="K36" s="9">
        <v>125</v>
      </c>
      <c r="L36" s="8" t="s">
        <v>84</v>
      </c>
      <c r="M36" s="8" t="s">
        <v>284</v>
      </c>
      <c r="N36" s="9">
        <v>2021</v>
      </c>
    </row>
    <row r="37" spans="1:14" ht="15.75" customHeight="1" x14ac:dyDescent="0.25">
      <c r="A37" s="10" t="s">
        <v>17</v>
      </c>
      <c r="B37" s="10" t="s">
        <v>428</v>
      </c>
      <c r="C37" s="10" t="s">
        <v>429</v>
      </c>
      <c r="D37" s="10" t="s">
        <v>431</v>
      </c>
      <c r="E37" s="10" t="s">
        <v>179</v>
      </c>
      <c r="F37" s="11">
        <v>4</v>
      </c>
      <c r="G37" s="11">
        <v>8</v>
      </c>
      <c r="H37" s="11">
        <v>3.3</v>
      </c>
      <c r="I37" s="11">
        <v>4.3</v>
      </c>
      <c r="J37" s="11">
        <v>12</v>
      </c>
      <c r="K37" s="11">
        <v>60</v>
      </c>
      <c r="L37" s="10" t="s">
        <v>281</v>
      </c>
      <c r="M37" s="10" t="s">
        <v>435</v>
      </c>
      <c r="N37" s="11">
        <v>2022</v>
      </c>
    </row>
    <row r="38" spans="1:14" ht="15.75" customHeight="1" x14ac:dyDescent="0.25">
      <c r="A38" s="8" t="s">
        <v>17</v>
      </c>
      <c r="B38" s="8" t="s">
        <v>428</v>
      </c>
      <c r="C38" s="8" t="s">
        <v>439</v>
      </c>
      <c r="D38" s="8" t="s">
        <v>431</v>
      </c>
      <c r="E38" s="8" t="s">
        <v>179</v>
      </c>
      <c r="F38" s="9">
        <v>4</v>
      </c>
      <c r="G38" s="9">
        <v>8</v>
      </c>
      <c r="H38" s="9">
        <v>3.3</v>
      </c>
      <c r="I38" s="9">
        <v>4.3</v>
      </c>
      <c r="J38" s="9">
        <v>12</v>
      </c>
      <c r="K38" s="9">
        <v>58</v>
      </c>
      <c r="L38" s="8" t="s">
        <v>84</v>
      </c>
      <c r="M38" s="8" t="s">
        <v>435</v>
      </c>
      <c r="N38" s="9">
        <v>2022</v>
      </c>
    </row>
    <row r="39" spans="1:14" ht="15.75" customHeight="1" x14ac:dyDescent="0.25">
      <c r="A39" s="10" t="s">
        <v>17</v>
      </c>
      <c r="B39" s="10" t="s">
        <v>428</v>
      </c>
      <c r="C39" s="10" t="s">
        <v>451</v>
      </c>
      <c r="D39" s="10" t="s">
        <v>431</v>
      </c>
      <c r="E39" s="10" t="s">
        <v>179</v>
      </c>
      <c r="F39" s="11">
        <v>6</v>
      </c>
      <c r="G39" s="11">
        <v>12</v>
      </c>
      <c r="H39" s="11">
        <v>2.5</v>
      </c>
      <c r="I39" s="11">
        <v>4.4000000000000004</v>
      </c>
      <c r="J39" s="11">
        <v>18</v>
      </c>
      <c r="K39" s="11">
        <v>65</v>
      </c>
      <c r="L39" s="10" t="s">
        <v>281</v>
      </c>
      <c r="M39" s="10" t="s">
        <v>435</v>
      </c>
      <c r="N39" s="11">
        <v>2022</v>
      </c>
    </row>
    <row r="40" spans="1:14" ht="15.75" customHeight="1" x14ac:dyDescent="0.25">
      <c r="A40" s="8" t="s">
        <v>17</v>
      </c>
      <c r="B40" s="8" t="s">
        <v>428</v>
      </c>
      <c r="C40" s="8" t="s">
        <v>460</v>
      </c>
      <c r="D40" s="8" t="s">
        <v>431</v>
      </c>
      <c r="E40" s="8" t="s">
        <v>179</v>
      </c>
      <c r="F40" s="9">
        <v>6</v>
      </c>
      <c r="G40" s="9">
        <v>12</v>
      </c>
      <c r="H40" s="9">
        <v>2.5</v>
      </c>
      <c r="I40" s="9">
        <v>4.4000000000000004</v>
      </c>
      <c r="J40" s="9">
        <v>18</v>
      </c>
      <c r="K40" s="9">
        <v>65</v>
      </c>
      <c r="L40" s="8" t="s">
        <v>84</v>
      </c>
      <c r="M40" s="8" t="s">
        <v>435</v>
      </c>
      <c r="N40" s="9">
        <v>2022</v>
      </c>
    </row>
    <row r="41" spans="1:14" ht="15.75" customHeight="1" x14ac:dyDescent="0.25">
      <c r="A41" s="10" t="s">
        <v>17</v>
      </c>
      <c r="B41" s="10" t="s">
        <v>428</v>
      </c>
      <c r="C41" s="10" t="s">
        <v>465</v>
      </c>
      <c r="D41" s="10" t="s">
        <v>431</v>
      </c>
      <c r="E41" s="10" t="s">
        <v>179</v>
      </c>
      <c r="F41" s="11">
        <v>6</v>
      </c>
      <c r="G41" s="11">
        <v>12</v>
      </c>
      <c r="H41" s="11">
        <v>3</v>
      </c>
      <c r="I41" s="11">
        <v>4.5999999999999996</v>
      </c>
      <c r="J41" s="11">
        <v>18</v>
      </c>
      <c r="K41" s="11">
        <v>65</v>
      </c>
      <c r="L41" s="10" t="s">
        <v>468</v>
      </c>
      <c r="M41" s="10" t="s">
        <v>435</v>
      </c>
      <c r="N41" s="11">
        <v>2022</v>
      </c>
    </row>
    <row r="42" spans="1:14" ht="15.75" customHeight="1" x14ac:dyDescent="0.25">
      <c r="A42" s="8" t="s">
        <v>17</v>
      </c>
      <c r="B42" s="8" t="s">
        <v>428</v>
      </c>
      <c r="C42" s="8" t="s">
        <v>472</v>
      </c>
      <c r="D42" s="8" t="s">
        <v>431</v>
      </c>
      <c r="E42" s="8" t="s">
        <v>179</v>
      </c>
      <c r="F42" s="9">
        <v>6</v>
      </c>
      <c r="G42" s="9">
        <v>12</v>
      </c>
      <c r="H42" s="9">
        <v>3.3</v>
      </c>
      <c r="I42" s="9">
        <v>4.8</v>
      </c>
      <c r="J42" s="9">
        <v>18</v>
      </c>
      <c r="K42" s="9">
        <v>65</v>
      </c>
      <c r="L42" s="8" t="s">
        <v>468</v>
      </c>
      <c r="M42" s="8" t="s">
        <v>435</v>
      </c>
      <c r="N42" s="9">
        <v>2022</v>
      </c>
    </row>
    <row r="43" spans="1:14" ht="15.75" customHeight="1" x14ac:dyDescent="0.25">
      <c r="A43" s="10" t="s">
        <v>17</v>
      </c>
      <c r="B43" s="10" t="s">
        <v>428</v>
      </c>
      <c r="C43" s="10" t="s">
        <v>478</v>
      </c>
      <c r="D43" s="10" t="s">
        <v>431</v>
      </c>
      <c r="E43" s="10" t="s">
        <v>179</v>
      </c>
      <c r="F43" s="11">
        <v>10</v>
      </c>
      <c r="G43" s="11">
        <v>16</v>
      </c>
      <c r="H43" s="11">
        <v>3.7</v>
      </c>
      <c r="I43" s="11">
        <v>4.9000000000000004</v>
      </c>
      <c r="J43" s="11">
        <v>20</v>
      </c>
      <c r="K43" s="11">
        <v>125</v>
      </c>
      <c r="L43" s="10" t="s">
        <v>468</v>
      </c>
      <c r="M43" s="10" t="s">
        <v>435</v>
      </c>
      <c r="N43" s="11">
        <v>2021</v>
      </c>
    </row>
    <row r="44" spans="1:14" ht="15.75" customHeight="1" x14ac:dyDescent="0.25">
      <c r="A44" s="8" t="s">
        <v>17</v>
      </c>
      <c r="B44" s="8" t="s">
        <v>428</v>
      </c>
      <c r="C44" s="8" t="s">
        <v>481</v>
      </c>
      <c r="D44" s="8" t="s">
        <v>431</v>
      </c>
      <c r="E44" s="8" t="s">
        <v>179</v>
      </c>
      <c r="F44" s="9">
        <v>10</v>
      </c>
      <c r="G44" s="9">
        <v>16</v>
      </c>
      <c r="H44" s="9">
        <v>3.7</v>
      </c>
      <c r="I44" s="9">
        <v>4.9000000000000004</v>
      </c>
      <c r="J44" s="9">
        <v>20</v>
      </c>
      <c r="K44" s="9">
        <v>125</v>
      </c>
      <c r="L44" s="8" t="s">
        <v>84</v>
      </c>
      <c r="M44" s="8" t="s">
        <v>435</v>
      </c>
      <c r="N44" s="9">
        <v>2021</v>
      </c>
    </row>
    <row r="45" spans="1:14" ht="15.75" customHeight="1" x14ac:dyDescent="0.25">
      <c r="A45" s="10" t="s">
        <v>17</v>
      </c>
      <c r="B45" s="10" t="s">
        <v>428</v>
      </c>
      <c r="C45" s="10" t="s">
        <v>489</v>
      </c>
      <c r="D45" s="10" t="s">
        <v>431</v>
      </c>
      <c r="E45" s="10" t="s">
        <v>179</v>
      </c>
      <c r="F45" s="11">
        <v>12</v>
      </c>
      <c r="G45" s="11">
        <v>20</v>
      </c>
      <c r="H45" s="11">
        <v>2.1</v>
      </c>
      <c r="I45" s="11">
        <v>4.9000000000000004</v>
      </c>
      <c r="J45" s="11">
        <v>25</v>
      </c>
      <c r="K45" s="11">
        <v>65</v>
      </c>
      <c r="L45" s="10" t="s">
        <v>468</v>
      </c>
      <c r="M45" s="10" t="s">
        <v>435</v>
      </c>
      <c r="N45" s="11">
        <v>2022</v>
      </c>
    </row>
    <row r="46" spans="1:14" ht="15.75" customHeight="1" x14ac:dyDescent="0.25">
      <c r="A46" s="8" t="s">
        <v>17</v>
      </c>
      <c r="B46" s="8" t="s">
        <v>428</v>
      </c>
      <c r="C46" s="8" t="s">
        <v>494</v>
      </c>
      <c r="D46" s="8" t="s">
        <v>431</v>
      </c>
      <c r="E46" s="8" t="s">
        <v>179</v>
      </c>
      <c r="F46" s="9">
        <v>12</v>
      </c>
      <c r="G46" s="9">
        <v>20</v>
      </c>
      <c r="H46" s="9">
        <v>2.1</v>
      </c>
      <c r="I46" s="9">
        <v>4.9000000000000004</v>
      </c>
      <c r="J46" s="9">
        <v>25</v>
      </c>
      <c r="K46" s="9">
        <v>65</v>
      </c>
      <c r="L46" s="8" t="s">
        <v>84</v>
      </c>
      <c r="M46" s="8" t="s">
        <v>435</v>
      </c>
      <c r="N46" s="9">
        <v>2022</v>
      </c>
    </row>
    <row r="47" spans="1:14" ht="15.75" customHeight="1" x14ac:dyDescent="0.25">
      <c r="A47" s="10" t="s">
        <v>17</v>
      </c>
      <c r="B47" s="10" t="s">
        <v>428</v>
      </c>
      <c r="C47" s="10" t="s">
        <v>502</v>
      </c>
      <c r="D47" s="10" t="s">
        <v>431</v>
      </c>
      <c r="E47" s="10" t="s">
        <v>179</v>
      </c>
      <c r="F47" s="11">
        <v>12</v>
      </c>
      <c r="G47" s="11">
        <v>20</v>
      </c>
      <c r="H47" s="11">
        <v>3.6</v>
      </c>
      <c r="I47" s="11">
        <v>5</v>
      </c>
      <c r="J47" s="11">
        <v>25</v>
      </c>
      <c r="K47" s="11">
        <v>125</v>
      </c>
      <c r="L47" s="10" t="s">
        <v>468</v>
      </c>
      <c r="M47" s="10" t="s">
        <v>435</v>
      </c>
      <c r="N47" s="11">
        <v>2021</v>
      </c>
    </row>
    <row r="48" spans="1:14" ht="15.75" customHeight="1" x14ac:dyDescent="0.25">
      <c r="A48" s="8" t="s">
        <v>17</v>
      </c>
      <c r="B48" s="8" t="s">
        <v>428</v>
      </c>
      <c r="C48" s="8" t="s">
        <v>511</v>
      </c>
      <c r="D48" s="8" t="s">
        <v>431</v>
      </c>
      <c r="E48" s="8" t="s">
        <v>179</v>
      </c>
      <c r="F48" s="9">
        <v>12</v>
      </c>
      <c r="G48" s="9">
        <v>20</v>
      </c>
      <c r="H48" s="9">
        <v>3.6</v>
      </c>
      <c r="I48" s="9">
        <v>5</v>
      </c>
      <c r="J48" s="9">
        <v>25</v>
      </c>
      <c r="K48" s="9">
        <v>125</v>
      </c>
      <c r="L48" s="8" t="s">
        <v>84</v>
      </c>
      <c r="M48" s="8" t="s">
        <v>435</v>
      </c>
      <c r="N48" s="9">
        <v>2021</v>
      </c>
    </row>
    <row r="49" spans="1:14" ht="15.75" customHeight="1" x14ac:dyDescent="0.25">
      <c r="A49" s="10" t="s">
        <v>17</v>
      </c>
      <c r="B49" s="10" t="s">
        <v>428</v>
      </c>
      <c r="C49" s="10" t="s">
        <v>514</v>
      </c>
      <c r="D49" s="10" t="s">
        <v>431</v>
      </c>
      <c r="E49" s="10" t="s">
        <v>179</v>
      </c>
      <c r="F49" s="11">
        <v>16</v>
      </c>
      <c r="G49" s="11">
        <v>24</v>
      </c>
      <c r="H49" s="11">
        <v>2.4</v>
      </c>
      <c r="I49" s="11">
        <v>5.0999999999999996</v>
      </c>
      <c r="J49" s="11">
        <v>30</v>
      </c>
      <c r="K49" s="11">
        <v>65</v>
      </c>
      <c r="L49" s="10" t="s">
        <v>468</v>
      </c>
      <c r="M49" s="10" t="s">
        <v>435</v>
      </c>
      <c r="N49" s="11">
        <v>2022</v>
      </c>
    </row>
    <row r="50" spans="1:14" ht="15.75" customHeight="1" x14ac:dyDescent="0.25">
      <c r="A50" s="8" t="s">
        <v>17</v>
      </c>
      <c r="B50" s="8" t="s">
        <v>428</v>
      </c>
      <c r="C50" s="8" t="s">
        <v>522</v>
      </c>
      <c r="D50" s="8" t="s">
        <v>431</v>
      </c>
      <c r="E50" s="8" t="s">
        <v>179</v>
      </c>
      <c r="F50" s="9">
        <v>16</v>
      </c>
      <c r="G50" s="9">
        <v>24</v>
      </c>
      <c r="H50" s="9">
        <v>2.4</v>
      </c>
      <c r="I50" s="9">
        <v>5.0999999999999996</v>
      </c>
      <c r="J50" s="9">
        <v>30</v>
      </c>
      <c r="K50" s="9">
        <v>65</v>
      </c>
      <c r="L50" s="8" t="s">
        <v>84</v>
      </c>
      <c r="M50" s="8" t="s">
        <v>435</v>
      </c>
      <c r="N50" s="9">
        <v>2022</v>
      </c>
    </row>
    <row r="51" spans="1:14" ht="15.75" customHeight="1" x14ac:dyDescent="0.25">
      <c r="A51" s="10" t="s">
        <v>17</v>
      </c>
      <c r="B51" s="10" t="s">
        <v>428</v>
      </c>
      <c r="C51" s="10" t="s">
        <v>530</v>
      </c>
      <c r="D51" s="10" t="s">
        <v>431</v>
      </c>
      <c r="E51" s="10" t="s">
        <v>179</v>
      </c>
      <c r="F51" s="11">
        <v>16</v>
      </c>
      <c r="G51" s="11">
        <v>24</v>
      </c>
      <c r="H51" s="11">
        <v>3.2</v>
      </c>
      <c r="I51" s="11">
        <v>5.2</v>
      </c>
      <c r="J51" s="11">
        <v>30</v>
      </c>
      <c r="K51" s="11">
        <v>125</v>
      </c>
      <c r="L51" s="10" t="s">
        <v>468</v>
      </c>
      <c r="M51" s="10" t="s">
        <v>435</v>
      </c>
      <c r="N51" s="11">
        <v>2021</v>
      </c>
    </row>
    <row r="52" spans="1:14" ht="15.75" customHeight="1" x14ac:dyDescent="0.25">
      <c r="A52" s="8" t="s">
        <v>17</v>
      </c>
      <c r="B52" s="8" t="s">
        <v>428</v>
      </c>
      <c r="C52" s="8" t="s">
        <v>538</v>
      </c>
      <c r="D52" s="8" t="s">
        <v>431</v>
      </c>
      <c r="E52" s="8" t="s">
        <v>179</v>
      </c>
      <c r="F52" s="9">
        <v>16</v>
      </c>
      <c r="G52" s="9">
        <v>24</v>
      </c>
      <c r="H52" s="9">
        <v>3.2</v>
      </c>
      <c r="I52" s="9">
        <v>5.2</v>
      </c>
      <c r="J52" s="9">
        <v>30</v>
      </c>
      <c r="K52" s="9">
        <v>125</v>
      </c>
      <c r="L52" s="8" t="s">
        <v>84</v>
      </c>
      <c r="M52" s="8" t="s">
        <v>435</v>
      </c>
      <c r="N52" s="9">
        <v>2021</v>
      </c>
    </row>
    <row r="53" spans="1:14" ht="15.75" customHeight="1" x14ac:dyDescent="0.25">
      <c r="A53" s="10" t="s">
        <v>17</v>
      </c>
      <c r="B53" s="10" t="s">
        <v>428</v>
      </c>
      <c r="C53" s="10" t="s">
        <v>545</v>
      </c>
      <c r="D53" s="10" t="s">
        <v>431</v>
      </c>
      <c r="E53" s="10" t="s">
        <v>179</v>
      </c>
      <c r="F53" s="11">
        <v>16</v>
      </c>
      <c r="G53" s="11">
        <v>24</v>
      </c>
      <c r="H53" s="11">
        <v>3.4</v>
      </c>
      <c r="I53" s="11">
        <v>5.5</v>
      </c>
      <c r="J53" s="11">
        <v>30</v>
      </c>
      <c r="K53" s="11">
        <v>150</v>
      </c>
      <c r="L53" s="10" t="s">
        <v>468</v>
      </c>
      <c r="M53" s="10" t="s">
        <v>435</v>
      </c>
      <c r="N53" s="11">
        <v>2022</v>
      </c>
    </row>
    <row r="54" spans="1:14" ht="15.75" customHeight="1" x14ac:dyDescent="0.25">
      <c r="A54" s="8" t="s">
        <v>17</v>
      </c>
      <c r="B54" s="8" t="s">
        <v>552</v>
      </c>
      <c r="C54" s="8" t="s">
        <v>554</v>
      </c>
      <c r="D54" s="8" t="s">
        <v>555</v>
      </c>
      <c r="E54" s="8" t="s">
        <v>179</v>
      </c>
      <c r="F54" s="9">
        <v>4</v>
      </c>
      <c r="G54" s="9">
        <v>8</v>
      </c>
      <c r="H54" s="9">
        <v>3.4</v>
      </c>
      <c r="I54" s="9">
        <v>4.5</v>
      </c>
      <c r="J54" s="9">
        <v>12</v>
      </c>
      <c r="K54" s="9">
        <v>60</v>
      </c>
      <c r="L54" s="8" t="s">
        <v>281</v>
      </c>
      <c r="M54" s="8" t="s">
        <v>435</v>
      </c>
      <c r="N54" s="9">
        <v>2023</v>
      </c>
    </row>
    <row r="55" spans="1:14" ht="15.75" customHeight="1" x14ac:dyDescent="0.25">
      <c r="A55" s="10" t="s">
        <v>17</v>
      </c>
      <c r="B55" s="10" t="s">
        <v>552</v>
      </c>
      <c r="C55" s="10" t="s">
        <v>562</v>
      </c>
      <c r="D55" s="10" t="s">
        <v>555</v>
      </c>
      <c r="E55" s="10" t="s">
        <v>179</v>
      </c>
      <c r="F55" s="11">
        <v>4</v>
      </c>
      <c r="G55" s="11">
        <v>8</v>
      </c>
      <c r="H55" s="11">
        <v>3.4</v>
      </c>
      <c r="I55" s="11">
        <v>4.5</v>
      </c>
      <c r="J55" s="11">
        <v>12</v>
      </c>
      <c r="K55" s="11">
        <v>58</v>
      </c>
      <c r="L55" s="10" t="s">
        <v>84</v>
      </c>
      <c r="M55" s="10" t="s">
        <v>435</v>
      </c>
      <c r="N55" s="11">
        <v>2023</v>
      </c>
    </row>
    <row r="56" spans="1:14" ht="15.75" customHeight="1" x14ac:dyDescent="0.25">
      <c r="A56" s="8" t="s">
        <v>17</v>
      </c>
      <c r="B56" s="8" t="s">
        <v>552</v>
      </c>
      <c r="C56" s="8" t="s">
        <v>568</v>
      </c>
      <c r="D56" s="8" t="s">
        <v>555</v>
      </c>
      <c r="E56" s="8" t="s">
        <v>179</v>
      </c>
      <c r="F56" s="9">
        <v>10</v>
      </c>
      <c r="G56" s="9">
        <v>16</v>
      </c>
      <c r="H56" s="9">
        <v>2.5</v>
      </c>
      <c r="I56" s="9">
        <v>4.5999999999999996</v>
      </c>
      <c r="J56" s="9">
        <v>20</v>
      </c>
      <c r="K56" s="9">
        <v>65</v>
      </c>
      <c r="L56" s="8" t="s">
        <v>281</v>
      </c>
      <c r="M56" s="8" t="s">
        <v>435</v>
      </c>
      <c r="N56" s="9">
        <v>2023</v>
      </c>
    </row>
    <row r="57" spans="1:14" ht="15.75" customHeight="1" x14ac:dyDescent="0.25">
      <c r="A57" s="10" t="s">
        <v>17</v>
      </c>
      <c r="B57" s="10" t="s">
        <v>552</v>
      </c>
      <c r="C57" s="10" t="s">
        <v>574</v>
      </c>
      <c r="D57" s="10" t="s">
        <v>555</v>
      </c>
      <c r="E57" s="10" t="s">
        <v>179</v>
      </c>
      <c r="F57" s="11">
        <v>10</v>
      </c>
      <c r="G57" s="11">
        <v>16</v>
      </c>
      <c r="H57" s="11">
        <v>2.5</v>
      </c>
      <c r="I57" s="11">
        <v>4.5999999999999996</v>
      </c>
      <c r="J57" s="11">
        <v>20</v>
      </c>
      <c r="K57" s="11">
        <v>65</v>
      </c>
      <c r="L57" s="10" t="s">
        <v>84</v>
      </c>
      <c r="M57" s="10" t="s">
        <v>435</v>
      </c>
      <c r="N57" s="11">
        <v>2023</v>
      </c>
    </row>
    <row r="58" spans="1:14" ht="15.75" customHeight="1" x14ac:dyDescent="0.25">
      <c r="A58" s="8" t="s">
        <v>17</v>
      </c>
      <c r="B58" s="8" t="s">
        <v>552</v>
      </c>
      <c r="C58" s="8" t="s">
        <v>581</v>
      </c>
      <c r="D58" s="8" t="s">
        <v>555</v>
      </c>
      <c r="E58" s="8" t="s">
        <v>179</v>
      </c>
      <c r="F58" s="9">
        <v>14</v>
      </c>
      <c r="G58" s="9">
        <v>20</v>
      </c>
      <c r="H58" s="9">
        <v>2.5</v>
      </c>
      <c r="I58" s="9">
        <v>4.8</v>
      </c>
      <c r="J58" s="9">
        <v>24</v>
      </c>
      <c r="K58" s="9">
        <v>65</v>
      </c>
      <c r="L58" s="8" t="s">
        <v>468</v>
      </c>
      <c r="M58" s="8" t="s">
        <v>435</v>
      </c>
      <c r="N58" s="9">
        <v>2023</v>
      </c>
    </row>
    <row r="59" spans="1:14" ht="15.75" customHeight="1" x14ac:dyDescent="0.25">
      <c r="A59" s="10" t="s">
        <v>17</v>
      </c>
      <c r="B59" s="10" t="s">
        <v>552</v>
      </c>
      <c r="C59" s="10" t="s">
        <v>591</v>
      </c>
      <c r="D59" s="10" t="s">
        <v>555</v>
      </c>
      <c r="E59" s="10" t="s">
        <v>179</v>
      </c>
      <c r="F59" s="11">
        <v>14</v>
      </c>
      <c r="G59" s="11">
        <v>20</v>
      </c>
      <c r="H59" s="11">
        <v>2.7</v>
      </c>
      <c r="I59" s="11">
        <v>5</v>
      </c>
      <c r="J59" s="11">
        <v>24</v>
      </c>
      <c r="K59" s="11">
        <v>65</v>
      </c>
      <c r="L59" s="10" t="s">
        <v>468</v>
      </c>
      <c r="M59" s="10" t="s">
        <v>435</v>
      </c>
      <c r="N59" s="11">
        <v>2023</v>
      </c>
    </row>
    <row r="60" spans="1:14" ht="15.75" customHeight="1" x14ac:dyDescent="0.25">
      <c r="A60" s="8" t="s">
        <v>17</v>
      </c>
      <c r="B60" s="8" t="s">
        <v>552</v>
      </c>
      <c r="C60" s="8" t="s">
        <v>604</v>
      </c>
      <c r="D60" s="8" t="s">
        <v>555</v>
      </c>
      <c r="E60" s="8" t="s">
        <v>179</v>
      </c>
      <c r="F60" s="9">
        <v>14</v>
      </c>
      <c r="G60" s="9">
        <v>20</v>
      </c>
      <c r="H60" s="9">
        <v>3.5</v>
      </c>
      <c r="I60" s="9">
        <v>5.0999999999999996</v>
      </c>
      <c r="J60" s="9">
        <v>24</v>
      </c>
      <c r="K60" s="9">
        <v>125</v>
      </c>
      <c r="L60" s="8" t="s">
        <v>468</v>
      </c>
      <c r="M60" s="8" t="s">
        <v>612</v>
      </c>
      <c r="N60" s="9">
        <v>2022</v>
      </c>
    </row>
    <row r="61" spans="1:14" ht="15.75" customHeight="1" x14ac:dyDescent="0.25">
      <c r="A61" s="10" t="s">
        <v>17</v>
      </c>
      <c r="B61" s="10" t="s">
        <v>552</v>
      </c>
      <c r="C61" s="10" t="s">
        <v>616</v>
      </c>
      <c r="D61" s="10" t="s">
        <v>555</v>
      </c>
      <c r="E61" s="10" t="s">
        <v>179</v>
      </c>
      <c r="F61" s="11">
        <v>14</v>
      </c>
      <c r="G61" s="11">
        <v>20</v>
      </c>
      <c r="H61" s="11">
        <v>3.5</v>
      </c>
      <c r="I61" s="11">
        <v>5.0999999999999996</v>
      </c>
      <c r="J61" s="11">
        <v>24</v>
      </c>
      <c r="K61" s="11">
        <v>125</v>
      </c>
      <c r="L61" s="10" t="s">
        <v>84</v>
      </c>
      <c r="M61" s="10" t="s">
        <v>612</v>
      </c>
      <c r="N61" s="11">
        <v>2022</v>
      </c>
    </row>
    <row r="62" spans="1:14" ht="15.75" customHeight="1" x14ac:dyDescent="0.25">
      <c r="A62" s="8" t="s">
        <v>17</v>
      </c>
      <c r="B62" s="8" t="s">
        <v>552</v>
      </c>
      <c r="C62" s="8" t="s">
        <v>626</v>
      </c>
      <c r="D62" s="8" t="s">
        <v>555</v>
      </c>
      <c r="E62" s="8" t="s">
        <v>179</v>
      </c>
      <c r="F62" s="9">
        <v>16</v>
      </c>
      <c r="G62" s="9">
        <v>24</v>
      </c>
      <c r="H62" s="9">
        <v>2.1</v>
      </c>
      <c r="I62" s="9">
        <v>5.2</v>
      </c>
      <c r="J62" s="9">
        <v>30</v>
      </c>
      <c r="K62" s="9">
        <v>65</v>
      </c>
      <c r="L62" s="8" t="s">
        <v>468</v>
      </c>
      <c r="M62" s="8" t="s">
        <v>612</v>
      </c>
      <c r="N62" s="9">
        <v>2023</v>
      </c>
    </row>
    <row r="63" spans="1:14" ht="15.75" customHeight="1" x14ac:dyDescent="0.25">
      <c r="A63" s="10" t="s">
        <v>17</v>
      </c>
      <c r="B63" s="10" t="s">
        <v>552</v>
      </c>
      <c r="C63" s="10" t="s">
        <v>638</v>
      </c>
      <c r="D63" s="10" t="s">
        <v>555</v>
      </c>
      <c r="E63" s="10" t="s">
        <v>179</v>
      </c>
      <c r="F63" s="11">
        <v>16</v>
      </c>
      <c r="G63" s="11">
        <v>24</v>
      </c>
      <c r="H63" s="11">
        <v>2.1</v>
      </c>
      <c r="I63" s="11">
        <v>5.2</v>
      </c>
      <c r="J63" s="11">
        <v>30</v>
      </c>
      <c r="K63" s="11">
        <v>65</v>
      </c>
      <c r="L63" s="10" t="s">
        <v>84</v>
      </c>
      <c r="M63" s="10" t="s">
        <v>612</v>
      </c>
      <c r="N63" s="11">
        <v>2023</v>
      </c>
    </row>
    <row r="64" spans="1:14" ht="15.75" customHeight="1" x14ac:dyDescent="0.25">
      <c r="A64" s="8" t="s">
        <v>17</v>
      </c>
      <c r="B64" s="8" t="s">
        <v>552</v>
      </c>
      <c r="C64" s="8" t="s">
        <v>643</v>
      </c>
      <c r="D64" s="8" t="s">
        <v>555</v>
      </c>
      <c r="E64" s="8" t="s">
        <v>179</v>
      </c>
      <c r="F64" s="9">
        <v>16</v>
      </c>
      <c r="G64" s="9">
        <v>24</v>
      </c>
      <c r="H64" s="9">
        <v>3.4</v>
      </c>
      <c r="I64" s="9">
        <v>5.4</v>
      </c>
      <c r="J64" s="9">
        <v>30</v>
      </c>
      <c r="K64" s="9">
        <v>125</v>
      </c>
      <c r="L64" s="8" t="s">
        <v>468</v>
      </c>
      <c r="M64" s="8" t="s">
        <v>612</v>
      </c>
      <c r="N64" s="9">
        <v>2022</v>
      </c>
    </row>
    <row r="65" spans="1:14" ht="15.75" customHeight="1" x14ac:dyDescent="0.25">
      <c r="A65" s="10" t="s">
        <v>17</v>
      </c>
      <c r="B65" s="10" t="s">
        <v>552</v>
      </c>
      <c r="C65" s="10" t="s">
        <v>653</v>
      </c>
      <c r="D65" s="10" t="s">
        <v>555</v>
      </c>
      <c r="E65" s="10" t="s">
        <v>179</v>
      </c>
      <c r="F65" s="11">
        <v>16</v>
      </c>
      <c r="G65" s="11">
        <v>24</v>
      </c>
      <c r="H65" s="11">
        <v>3.4</v>
      </c>
      <c r="I65" s="11">
        <v>5.4</v>
      </c>
      <c r="J65" s="11">
        <v>30</v>
      </c>
      <c r="K65" s="11">
        <v>125</v>
      </c>
      <c r="L65" s="10" t="s">
        <v>84</v>
      </c>
      <c r="M65" s="10" t="s">
        <v>612</v>
      </c>
      <c r="N65" s="11">
        <v>2022</v>
      </c>
    </row>
    <row r="66" spans="1:14" ht="15.75" customHeight="1" x14ac:dyDescent="0.25">
      <c r="A66" s="8" t="s">
        <v>17</v>
      </c>
      <c r="B66" s="8" t="s">
        <v>552</v>
      </c>
      <c r="C66" s="8" t="s">
        <v>661</v>
      </c>
      <c r="D66" s="8" t="s">
        <v>555</v>
      </c>
      <c r="E66" s="8" t="s">
        <v>179</v>
      </c>
      <c r="F66" s="9">
        <v>24</v>
      </c>
      <c r="G66" s="9">
        <v>32</v>
      </c>
      <c r="H66" s="9">
        <v>2</v>
      </c>
      <c r="I66" s="9">
        <v>5.6</v>
      </c>
      <c r="J66" s="9">
        <v>36</v>
      </c>
      <c r="K66" s="9">
        <v>65</v>
      </c>
      <c r="L66" s="8" t="s">
        <v>468</v>
      </c>
      <c r="M66" s="8" t="s">
        <v>612</v>
      </c>
      <c r="N66" s="9">
        <v>2023</v>
      </c>
    </row>
    <row r="67" spans="1:14" ht="15.75" customHeight="1" x14ac:dyDescent="0.25">
      <c r="A67" s="10" t="s">
        <v>17</v>
      </c>
      <c r="B67" s="10" t="s">
        <v>552</v>
      </c>
      <c r="C67" s="10" t="s">
        <v>668</v>
      </c>
      <c r="D67" s="10" t="s">
        <v>555</v>
      </c>
      <c r="E67" s="10" t="s">
        <v>179</v>
      </c>
      <c r="F67" s="11">
        <v>24</v>
      </c>
      <c r="G67" s="11">
        <v>32</v>
      </c>
      <c r="H67" s="11">
        <v>2</v>
      </c>
      <c r="I67" s="11">
        <v>5.6</v>
      </c>
      <c r="J67" s="11">
        <v>36</v>
      </c>
      <c r="K67" s="11">
        <v>65</v>
      </c>
      <c r="L67" s="10" t="s">
        <v>84</v>
      </c>
      <c r="M67" s="10" t="s">
        <v>612</v>
      </c>
      <c r="N67" s="11">
        <v>2023</v>
      </c>
    </row>
    <row r="68" spans="1:14" ht="15.75" customHeight="1" x14ac:dyDescent="0.25">
      <c r="A68" s="8" t="s">
        <v>17</v>
      </c>
      <c r="B68" s="8" t="s">
        <v>552</v>
      </c>
      <c r="C68" s="8" t="s">
        <v>674</v>
      </c>
      <c r="D68" s="8" t="s">
        <v>555</v>
      </c>
      <c r="E68" s="8" t="s">
        <v>179</v>
      </c>
      <c r="F68" s="9">
        <v>24</v>
      </c>
      <c r="G68" s="9">
        <v>32</v>
      </c>
      <c r="H68" s="9">
        <v>3</v>
      </c>
      <c r="I68" s="9">
        <v>5.8</v>
      </c>
      <c r="J68" s="9">
        <v>36</v>
      </c>
      <c r="K68" s="9">
        <v>125</v>
      </c>
      <c r="L68" s="8" t="s">
        <v>468</v>
      </c>
      <c r="M68" s="8" t="s">
        <v>612</v>
      </c>
      <c r="N68" s="9">
        <v>2022</v>
      </c>
    </row>
    <row r="69" spans="1:14" ht="15.75" customHeight="1" x14ac:dyDescent="0.25">
      <c r="A69" s="10" t="s">
        <v>17</v>
      </c>
      <c r="B69" s="10" t="s">
        <v>552</v>
      </c>
      <c r="C69" s="10" t="s">
        <v>683</v>
      </c>
      <c r="D69" s="10" t="s">
        <v>555</v>
      </c>
      <c r="E69" s="10" t="s">
        <v>179</v>
      </c>
      <c r="F69" s="11">
        <v>24</v>
      </c>
      <c r="G69" s="11">
        <v>32</v>
      </c>
      <c r="H69" s="11">
        <v>3</v>
      </c>
      <c r="I69" s="11">
        <v>5.8</v>
      </c>
      <c r="J69" s="11">
        <v>36</v>
      </c>
      <c r="K69" s="11">
        <v>125</v>
      </c>
      <c r="L69" s="10" t="s">
        <v>84</v>
      </c>
      <c r="M69" s="10" t="s">
        <v>612</v>
      </c>
      <c r="N69" s="11">
        <v>2022</v>
      </c>
    </row>
    <row r="70" spans="1:14" ht="15.75" customHeight="1" x14ac:dyDescent="0.25">
      <c r="A70" s="8" t="s">
        <v>17</v>
      </c>
      <c r="B70" s="8" t="s">
        <v>552</v>
      </c>
      <c r="C70" s="8" t="s">
        <v>690</v>
      </c>
      <c r="D70" s="8" t="s">
        <v>555</v>
      </c>
      <c r="E70" s="8" t="s">
        <v>179</v>
      </c>
      <c r="F70" s="9">
        <v>24</v>
      </c>
      <c r="G70" s="9">
        <v>32</v>
      </c>
      <c r="H70" s="9">
        <v>3.2</v>
      </c>
      <c r="I70" s="9">
        <v>6</v>
      </c>
      <c r="J70" s="9">
        <v>36</v>
      </c>
      <c r="K70" s="9">
        <v>150</v>
      </c>
      <c r="L70" s="8" t="s">
        <v>468</v>
      </c>
      <c r="M70" s="8" t="s">
        <v>612</v>
      </c>
      <c r="N70" s="9">
        <v>2023</v>
      </c>
    </row>
    <row r="71" spans="1:14" ht="15.75" customHeight="1" x14ac:dyDescent="0.25">
      <c r="A71" s="10" t="s">
        <v>17</v>
      </c>
      <c r="B71" s="10" t="s">
        <v>699</v>
      </c>
      <c r="C71" s="10" t="s">
        <v>702</v>
      </c>
      <c r="D71" s="10" t="s">
        <v>704</v>
      </c>
      <c r="E71" s="10" t="s">
        <v>179</v>
      </c>
      <c r="F71" s="11">
        <v>4</v>
      </c>
      <c r="G71" s="11">
        <v>8</v>
      </c>
      <c r="H71" s="11">
        <v>3.5</v>
      </c>
      <c r="I71" s="11">
        <v>4.7</v>
      </c>
      <c r="J71" s="11">
        <v>12</v>
      </c>
      <c r="K71" s="11">
        <v>60</v>
      </c>
      <c r="L71" s="10" t="s">
        <v>281</v>
      </c>
      <c r="M71" s="10" t="s">
        <v>435</v>
      </c>
      <c r="N71" s="11">
        <v>2024</v>
      </c>
    </row>
    <row r="72" spans="1:14" ht="15.75" customHeight="1" x14ac:dyDescent="0.25">
      <c r="A72" s="8" t="s">
        <v>17</v>
      </c>
      <c r="B72" s="8" t="s">
        <v>699</v>
      </c>
      <c r="C72" s="8" t="s">
        <v>716</v>
      </c>
      <c r="D72" s="8" t="s">
        <v>704</v>
      </c>
      <c r="E72" s="8" t="s">
        <v>179</v>
      </c>
      <c r="F72" s="9">
        <v>4</v>
      </c>
      <c r="G72" s="9">
        <v>8</v>
      </c>
      <c r="H72" s="9">
        <v>3.5</v>
      </c>
      <c r="I72" s="9">
        <v>4.7</v>
      </c>
      <c r="J72" s="9">
        <v>12</v>
      </c>
      <c r="K72" s="9">
        <v>58</v>
      </c>
      <c r="L72" s="8" t="s">
        <v>84</v>
      </c>
      <c r="M72" s="8" t="s">
        <v>435</v>
      </c>
      <c r="N72" s="9">
        <v>2024</v>
      </c>
    </row>
    <row r="73" spans="1:14" ht="15.75" customHeight="1" x14ac:dyDescent="0.25">
      <c r="A73" s="10" t="s">
        <v>17</v>
      </c>
      <c r="B73" s="10" t="s">
        <v>699</v>
      </c>
      <c r="C73" s="10" t="s">
        <v>726</v>
      </c>
      <c r="D73" s="10" t="s">
        <v>704</v>
      </c>
      <c r="E73" s="10" t="s">
        <v>179</v>
      </c>
      <c r="F73" s="11">
        <v>10</v>
      </c>
      <c r="G73" s="11">
        <v>16</v>
      </c>
      <c r="H73" s="11">
        <v>2.5</v>
      </c>
      <c r="I73" s="11">
        <v>4.7</v>
      </c>
      <c r="J73" s="11">
        <v>20</v>
      </c>
      <c r="K73" s="11">
        <v>65</v>
      </c>
      <c r="L73" s="10" t="s">
        <v>281</v>
      </c>
      <c r="M73" s="10" t="s">
        <v>435</v>
      </c>
      <c r="N73" s="11">
        <v>2024</v>
      </c>
    </row>
    <row r="74" spans="1:14" ht="15.75" customHeight="1" x14ac:dyDescent="0.25">
      <c r="A74" s="8" t="s">
        <v>17</v>
      </c>
      <c r="B74" s="8" t="s">
        <v>699</v>
      </c>
      <c r="C74" s="8" t="s">
        <v>737</v>
      </c>
      <c r="D74" s="8" t="s">
        <v>704</v>
      </c>
      <c r="E74" s="8" t="s">
        <v>179</v>
      </c>
      <c r="F74" s="9">
        <v>10</v>
      </c>
      <c r="G74" s="9">
        <v>16</v>
      </c>
      <c r="H74" s="9">
        <v>2.5</v>
      </c>
      <c r="I74" s="9">
        <v>4.7</v>
      </c>
      <c r="J74" s="9">
        <v>20</v>
      </c>
      <c r="K74" s="9">
        <v>65</v>
      </c>
      <c r="L74" s="8" t="s">
        <v>84</v>
      </c>
      <c r="M74" s="8" t="s">
        <v>435</v>
      </c>
      <c r="N74" s="9">
        <v>2024</v>
      </c>
    </row>
    <row r="75" spans="1:14" ht="15.75" customHeight="1" x14ac:dyDescent="0.25">
      <c r="A75" s="10" t="s">
        <v>17</v>
      </c>
      <c r="B75" s="10" t="s">
        <v>699</v>
      </c>
      <c r="C75" s="10" t="s">
        <v>745</v>
      </c>
      <c r="D75" s="10" t="s">
        <v>704</v>
      </c>
      <c r="E75" s="10" t="s">
        <v>179</v>
      </c>
      <c r="F75" s="11">
        <v>14</v>
      </c>
      <c r="G75" s="11">
        <v>20</v>
      </c>
      <c r="H75" s="11">
        <v>2.6</v>
      </c>
      <c r="I75" s="11">
        <v>5</v>
      </c>
      <c r="J75" s="11">
        <v>24</v>
      </c>
      <c r="K75" s="11">
        <v>65</v>
      </c>
      <c r="L75" s="10" t="s">
        <v>468</v>
      </c>
      <c r="M75" s="10" t="s">
        <v>612</v>
      </c>
      <c r="N75" s="11">
        <v>2024</v>
      </c>
    </row>
    <row r="76" spans="1:14" ht="15.75" customHeight="1" x14ac:dyDescent="0.25">
      <c r="A76" s="8" t="s">
        <v>17</v>
      </c>
      <c r="B76" s="8" t="s">
        <v>699</v>
      </c>
      <c r="C76" s="8" t="s">
        <v>746</v>
      </c>
      <c r="D76" s="8" t="s">
        <v>704</v>
      </c>
      <c r="E76" s="8" t="s">
        <v>179</v>
      </c>
      <c r="F76" s="9">
        <v>14</v>
      </c>
      <c r="G76" s="9">
        <v>20</v>
      </c>
      <c r="H76" s="9">
        <v>2.7</v>
      </c>
      <c r="I76" s="9">
        <v>5.2</v>
      </c>
      <c r="J76" s="9">
        <v>24</v>
      </c>
      <c r="K76" s="9">
        <v>65</v>
      </c>
      <c r="L76" s="8" t="s">
        <v>468</v>
      </c>
      <c r="M76" s="8" t="s">
        <v>612</v>
      </c>
      <c r="N76" s="9">
        <v>2024</v>
      </c>
    </row>
    <row r="77" spans="1:14" ht="15.75" customHeight="1" x14ac:dyDescent="0.25">
      <c r="A77" s="10" t="s">
        <v>17</v>
      </c>
      <c r="B77" s="10" t="s">
        <v>699</v>
      </c>
      <c r="C77" s="10" t="s">
        <v>747</v>
      </c>
      <c r="D77" s="10" t="s">
        <v>704</v>
      </c>
      <c r="E77" s="10" t="s">
        <v>179</v>
      </c>
      <c r="F77" s="11">
        <v>14</v>
      </c>
      <c r="G77" s="11">
        <v>20</v>
      </c>
      <c r="H77" s="11">
        <v>3.5</v>
      </c>
      <c r="I77" s="11">
        <v>5.3</v>
      </c>
      <c r="J77" s="11">
        <v>24</v>
      </c>
      <c r="K77" s="11">
        <v>125</v>
      </c>
      <c r="L77" s="10" t="s">
        <v>468</v>
      </c>
      <c r="M77" s="10" t="s">
        <v>612</v>
      </c>
      <c r="N77" s="11">
        <v>2023</v>
      </c>
    </row>
    <row r="78" spans="1:14" ht="15.75" customHeight="1" x14ac:dyDescent="0.25">
      <c r="A78" s="8" t="s">
        <v>17</v>
      </c>
      <c r="B78" s="8" t="s">
        <v>699</v>
      </c>
      <c r="C78" s="8" t="s">
        <v>748</v>
      </c>
      <c r="D78" s="8" t="s">
        <v>704</v>
      </c>
      <c r="E78" s="8" t="s">
        <v>179</v>
      </c>
      <c r="F78" s="9">
        <v>14</v>
      </c>
      <c r="G78" s="9">
        <v>20</v>
      </c>
      <c r="H78" s="9">
        <v>3.5</v>
      </c>
      <c r="I78" s="9">
        <v>5.3</v>
      </c>
      <c r="J78" s="9">
        <v>24</v>
      </c>
      <c r="K78" s="9">
        <v>125</v>
      </c>
      <c r="L78" s="8" t="s">
        <v>84</v>
      </c>
      <c r="M78" s="8" t="s">
        <v>612</v>
      </c>
      <c r="N78" s="9">
        <v>2023</v>
      </c>
    </row>
    <row r="79" spans="1:14" ht="15.75" customHeight="1" x14ac:dyDescent="0.25">
      <c r="A79" s="10" t="s">
        <v>17</v>
      </c>
      <c r="B79" s="10" t="s">
        <v>699</v>
      </c>
      <c r="C79" s="10" t="s">
        <v>749</v>
      </c>
      <c r="D79" s="10" t="s">
        <v>704</v>
      </c>
      <c r="E79" s="10" t="s">
        <v>179</v>
      </c>
      <c r="F79" s="11">
        <v>20</v>
      </c>
      <c r="G79" s="11">
        <v>28</v>
      </c>
      <c r="H79" s="11">
        <v>2.1</v>
      </c>
      <c r="I79" s="11">
        <v>5.4</v>
      </c>
      <c r="J79" s="11">
        <v>33</v>
      </c>
      <c r="K79" s="11">
        <v>65</v>
      </c>
      <c r="L79" s="10" t="s">
        <v>468</v>
      </c>
      <c r="M79" s="10" t="s">
        <v>612</v>
      </c>
      <c r="N79" s="11">
        <v>2024</v>
      </c>
    </row>
    <row r="80" spans="1:14" ht="15.75" customHeight="1" x14ac:dyDescent="0.25">
      <c r="A80" s="8" t="s">
        <v>17</v>
      </c>
      <c r="B80" s="8" t="s">
        <v>699</v>
      </c>
      <c r="C80" s="8" t="s">
        <v>750</v>
      </c>
      <c r="D80" s="8" t="s">
        <v>704</v>
      </c>
      <c r="E80" s="8" t="s">
        <v>179</v>
      </c>
      <c r="F80" s="9">
        <v>20</v>
      </c>
      <c r="G80" s="9">
        <v>28</v>
      </c>
      <c r="H80" s="9">
        <v>2.1</v>
      </c>
      <c r="I80" s="9">
        <v>5.4</v>
      </c>
      <c r="J80" s="9">
        <v>33</v>
      </c>
      <c r="K80" s="9">
        <v>65</v>
      </c>
      <c r="L80" s="8" t="s">
        <v>84</v>
      </c>
      <c r="M80" s="8" t="s">
        <v>612</v>
      </c>
      <c r="N80" s="9">
        <v>2024</v>
      </c>
    </row>
    <row r="81" spans="1:14" ht="15.75" customHeight="1" x14ac:dyDescent="0.25">
      <c r="A81" s="10" t="s">
        <v>17</v>
      </c>
      <c r="B81" s="10" t="s">
        <v>699</v>
      </c>
      <c r="C81" s="10" t="s">
        <v>751</v>
      </c>
      <c r="D81" s="10" t="s">
        <v>704</v>
      </c>
      <c r="E81" s="10" t="s">
        <v>179</v>
      </c>
      <c r="F81" s="11">
        <v>20</v>
      </c>
      <c r="G81" s="11">
        <v>28</v>
      </c>
      <c r="H81" s="11">
        <v>3.4</v>
      </c>
      <c r="I81" s="11">
        <v>5.6</v>
      </c>
      <c r="J81" s="11">
        <v>33</v>
      </c>
      <c r="K81" s="11">
        <v>125</v>
      </c>
      <c r="L81" s="10" t="s">
        <v>468</v>
      </c>
      <c r="M81" s="10" t="s">
        <v>612</v>
      </c>
      <c r="N81" s="11">
        <v>2023</v>
      </c>
    </row>
    <row r="82" spans="1:14" ht="15.75" customHeight="1" x14ac:dyDescent="0.25">
      <c r="A82" s="8" t="s">
        <v>17</v>
      </c>
      <c r="B82" s="8" t="s">
        <v>699</v>
      </c>
      <c r="C82" s="8" t="s">
        <v>752</v>
      </c>
      <c r="D82" s="8" t="s">
        <v>704</v>
      </c>
      <c r="E82" s="8" t="s">
        <v>179</v>
      </c>
      <c r="F82" s="9">
        <v>20</v>
      </c>
      <c r="G82" s="9">
        <v>28</v>
      </c>
      <c r="H82" s="9">
        <v>3.4</v>
      </c>
      <c r="I82" s="9">
        <v>5.6</v>
      </c>
      <c r="J82" s="9">
        <v>33</v>
      </c>
      <c r="K82" s="9">
        <v>125</v>
      </c>
      <c r="L82" s="8" t="s">
        <v>84</v>
      </c>
      <c r="M82" s="8" t="s">
        <v>612</v>
      </c>
      <c r="N82" s="9">
        <v>2023</v>
      </c>
    </row>
    <row r="83" spans="1:14" ht="15.75" customHeight="1" x14ac:dyDescent="0.25">
      <c r="A83" s="10" t="s">
        <v>17</v>
      </c>
      <c r="B83" s="10" t="s">
        <v>699</v>
      </c>
      <c r="C83" s="10" t="s">
        <v>753</v>
      </c>
      <c r="D83" s="10" t="s">
        <v>704</v>
      </c>
      <c r="E83" s="10" t="s">
        <v>179</v>
      </c>
      <c r="F83" s="11">
        <v>24</v>
      </c>
      <c r="G83" s="11">
        <v>32</v>
      </c>
      <c r="H83" s="11">
        <v>2</v>
      </c>
      <c r="I83" s="11">
        <v>5.8</v>
      </c>
      <c r="J83" s="11">
        <v>36</v>
      </c>
      <c r="K83" s="11">
        <v>65</v>
      </c>
      <c r="L83" s="10" t="s">
        <v>468</v>
      </c>
      <c r="M83" s="10" t="s">
        <v>612</v>
      </c>
      <c r="N83" s="11">
        <v>2024</v>
      </c>
    </row>
    <row r="84" spans="1:14" ht="15.75" customHeight="1" x14ac:dyDescent="0.25">
      <c r="A84" s="8" t="s">
        <v>17</v>
      </c>
      <c r="B84" s="8" t="s">
        <v>699</v>
      </c>
      <c r="C84" s="8" t="s">
        <v>754</v>
      </c>
      <c r="D84" s="8" t="s">
        <v>704</v>
      </c>
      <c r="E84" s="8" t="s">
        <v>179</v>
      </c>
      <c r="F84" s="9">
        <v>24</v>
      </c>
      <c r="G84" s="9">
        <v>32</v>
      </c>
      <c r="H84" s="9">
        <v>2</v>
      </c>
      <c r="I84" s="9">
        <v>5.8</v>
      </c>
      <c r="J84" s="9">
        <v>36</v>
      </c>
      <c r="K84" s="9">
        <v>65</v>
      </c>
      <c r="L84" s="8" t="s">
        <v>84</v>
      </c>
      <c r="M84" s="8" t="s">
        <v>612</v>
      </c>
      <c r="N84" s="9">
        <v>2024</v>
      </c>
    </row>
    <row r="85" spans="1:14" ht="15.75" customHeight="1" x14ac:dyDescent="0.25">
      <c r="A85" s="10" t="s">
        <v>17</v>
      </c>
      <c r="B85" s="10" t="s">
        <v>699</v>
      </c>
      <c r="C85" s="10" t="s">
        <v>755</v>
      </c>
      <c r="D85" s="10" t="s">
        <v>704</v>
      </c>
      <c r="E85" s="10" t="s">
        <v>179</v>
      </c>
      <c r="F85" s="11">
        <v>24</v>
      </c>
      <c r="G85" s="11">
        <v>32</v>
      </c>
      <c r="H85" s="11">
        <v>3.2</v>
      </c>
      <c r="I85" s="11">
        <v>6</v>
      </c>
      <c r="J85" s="11">
        <v>36</v>
      </c>
      <c r="K85" s="11">
        <v>125</v>
      </c>
      <c r="L85" s="10" t="s">
        <v>468</v>
      </c>
      <c r="M85" s="10" t="s">
        <v>612</v>
      </c>
      <c r="N85" s="11">
        <v>2023</v>
      </c>
    </row>
    <row r="86" spans="1:14" ht="15.75" customHeight="1" x14ac:dyDescent="0.25">
      <c r="A86" s="8" t="s">
        <v>17</v>
      </c>
      <c r="B86" s="8" t="s">
        <v>699</v>
      </c>
      <c r="C86" s="8" t="s">
        <v>756</v>
      </c>
      <c r="D86" s="8" t="s">
        <v>704</v>
      </c>
      <c r="E86" s="8" t="s">
        <v>179</v>
      </c>
      <c r="F86" s="9">
        <v>24</v>
      </c>
      <c r="G86" s="9">
        <v>32</v>
      </c>
      <c r="H86" s="9">
        <v>3.2</v>
      </c>
      <c r="I86" s="9">
        <v>6</v>
      </c>
      <c r="J86" s="9">
        <v>36</v>
      </c>
      <c r="K86" s="9">
        <v>125</v>
      </c>
      <c r="L86" s="8" t="s">
        <v>84</v>
      </c>
      <c r="M86" s="8" t="s">
        <v>612</v>
      </c>
      <c r="N86" s="9">
        <v>2023</v>
      </c>
    </row>
    <row r="87" spans="1:14" ht="15.75" customHeight="1" x14ac:dyDescent="0.25">
      <c r="A87" s="10" t="s">
        <v>17</v>
      </c>
      <c r="B87" s="10" t="s">
        <v>699</v>
      </c>
      <c r="C87" s="10" t="s">
        <v>757</v>
      </c>
      <c r="D87" s="10" t="s">
        <v>704</v>
      </c>
      <c r="E87" s="10" t="s">
        <v>179</v>
      </c>
      <c r="F87" s="11">
        <v>24</v>
      </c>
      <c r="G87" s="11">
        <v>32</v>
      </c>
      <c r="H87" s="11">
        <v>3.2</v>
      </c>
      <c r="I87" s="11">
        <v>6.2</v>
      </c>
      <c r="J87" s="11">
        <v>36</v>
      </c>
      <c r="K87" s="11">
        <v>150</v>
      </c>
      <c r="L87" s="10" t="s">
        <v>468</v>
      </c>
      <c r="M87" s="10" t="s">
        <v>612</v>
      </c>
      <c r="N87" s="11">
        <v>2024</v>
      </c>
    </row>
    <row r="88" spans="1:14" ht="15.75" customHeight="1" x14ac:dyDescent="0.25">
      <c r="A88" s="8" t="s">
        <v>17</v>
      </c>
      <c r="B88" s="8" t="s">
        <v>758</v>
      </c>
      <c r="C88" s="8" t="s">
        <v>759</v>
      </c>
      <c r="D88" s="8" t="s">
        <v>760</v>
      </c>
      <c r="E88" s="8" t="s">
        <v>384</v>
      </c>
      <c r="F88" s="9">
        <v>10</v>
      </c>
      <c r="G88" s="9">
        <v>10</v>
      </c>
      <c r="H88" s="9">
        <v>3.3</v>
      </c>
      <c r="I88" s="9">
        <v>4.9000000000000004</v>
      </c>
      <c r="J88" s="9">
        <v>20</v>
      </c>
      <c r="K88" s="9">
        <v>65</v>
      </c>
      <c r="L88" s="8" t="s">
        <v>761</v>
      </c>
      <c r="M88" s="8" t="s">
        <v>762</v>
      </c>
      <c r="N88" s="9">
        <v>2025</v>
      </c>
    </row>
    <row r="89" spans="1:14" ht="15.75" customHeight="1" x14ac:dyDescent="0.25">
      <c r="A89" s="10" t="s">
        <v>17</v>
      </c>
      <c r="B89" s="10" t="s">
        <v>758</v>
      </c>
      <c r="C89" s="10" t="s">
        <v>763</v>
      </c>
      <c r="D89" s="10" t="s">
        <v>760</v>
      </c>
      <c r="E89" s="10" t="s">
        <v>384</v>
      </c>
      <c r="F89" s="11">
        <v>10</v>
      </c>
      <c r="G89" s="11">
        <v>10</v>
      </c>
      <c r="H89" s="11">
        <v>3.3</v>
      </c>
      <c r="I89" s="11">
        <v>4.9000000000000004</v>
      </c>
      <c r="J89" s="11">
        <v>20</v>
      </c>
      <c r="K89" s="11">
        <v>65</v>
      </c>
      <c r="L89" s="10" t="s">
        <v>84</v>
      </c>
      <c r="M89" s="10" t="s">
        <v>762</v>
      </c>
      <c r="N89" s="11">
        <v>2025</v>
      </c>
    </row>
    <row r="90" spans="1:14" ht="15.75" customHeight="1" x14ac:dyDescent="0.25">
      <c r="A90" s="8" t="s">
        <v>17</v>
      </c>
      <c r="B90" s="8" t="s">
        <v>758</v>
      </c>
      <c r="C90" s="8" t="s">
        <v>764</v>
      </c>
      <c r="D90" s="8" t="s">
        <v>760</v>
      </c>
      <c r="E90" s="8" t="s">
        <v>384</v>
      </c>
      <c r="F90" s="9">
        <v>14</v>
      </c>
      <c r="G90" s="9">
        <v>14</v>
      </c>
      <c r="H90" s="9">
        <v>3.4</v>
      </c>
      <c r="I90" s="9">
        <v>5</v>
      </c>
      <c r="J90" s="9">
        <v>24</v>
      </c>
      <c r="K90" s="9">
        <v>65</v>
      </c>
      <c r="L90" s="8" t="s">
        <v>765</v>
      </c>
      <c r="M90" s="8" t="s">
        <v>762</v>
      </c>
      <c r="N90" s="9">
        <v>2025</v>
      </c>
    </row>
    <row r="91" spans="1:14" ht="15.75" customHeight="1" x14ac:dyDescent="0.25">
      <c r="A91" s="10" t="s">
        <v>17</v>
      </c>
      <c r="B91" s="10" t="s">
        <v>758</v>
      </c>
      <c r="C91" s="10" t="s">
        <v>766</v>
      </c>
      <c r="D91" s="10" t="s">
        <v>760</v>
      </c>
      <c r="E91" s="10" t="s">
        <v>384</v>
      </c>
      <c r="F91" s="11">
        <v>14</v>
      </c>
      <c r="G91" s="11">
        <v>14</v>
      </c>
      <c r="H91" s="11">
        <v>4.2</v>
      </c>
      <c r="I91" s="11">
        <v>5.2</v>
      </c>
      <c r="J91" s="11">
        <v>24</v>
      </c>
      <c r="K91" s="11">
        <v>125</v>
      </c>
      <c r="L91" s="10" t="s">
        <v>765</v>
      </c>
      <c r="M91" s="10" t="s">
        <v>762</v>
      </c>
      <c r="N91" s="11">
        <v>2024</v>
      </c>
    </row>
    <row r="92" spans="1:14" ht="15.75" customHeight="1" x14ac:dyDescent="0.25">
      <c r="A92" s="8" t="s">
        <v>17</v>
      </c>
      <c r="B92" s="8" t="s">
        <v>758</v>
      </c>
      <c r="C92" s="8" t="s">
        <v>776</v>
      </c>
      <c r="D92" s="8" t="s">
        <v>760</v>
      </c>
      <c r="E92" s="8" t="s">
        <v>384</v>
      </c>
      <c r="F92" s="9">
        <v>14</v>
      </c>
      <c r="G92" s="9">
        <v>14</v>
      </c>
      <c r="H92" s="9">
        <v>4.2</v>
      </c>
      <c r="I92" s="9">
        <v>5.2</v>
      </c>
      <c r="J92" s="9">
        <v>24</v>
      </c>
      <c r="K92" s="9">
        <v>125</v>
      </c>
      <c r="L92" s="8" t="s">
        <v>84</v>
      </c>
      <c r="M92" s="8" t="s">
        <v>762</v>
      </c>
      <c r="N92" s="9">
        <v>2024</v>
      </c>
    </row>
    <row r="93" spans="1:14" ht="15.75" customHeight="1" x14ac:dyDescent="0.25">
      <c r="A93" s="10" t="s">
        <v>17</v>
      </c>
      <c r="B93" s="10" t="s">
        <v>758</v>
      </c>
      <c r="C93" s="10" t="s">
        <v>788</v>
      </c>
      <c r="D93" s="10" t="s">
        <v>760</v>
      </c>
      <c r="E93" s="10" t="s">
        <v>384</v>
      </c>
      <c r="F93" s="11">
        <v>20</v>
      </c>
      <c r="G93" s="11">
        <v>20</v>
      </c>
      <c r="H93" s="11">
        <v>2.4</v>
      </c>
      <c r="I93" s="11">
        <v>5.3</v>
      </c>
      <c r="J93" s="11">
        <v>30</v>
      </c>
      <c r="K93" s="11">
        <v>65</v>
      </c>
      <c r="L93" s="10" t="s">
        <v>765</v>
      </c>
      <c r="M93" s="10" t="s">
        <v>762</v>
      </c>
      <c r="N93" s="11">
        <v>2025</v>
      </c>
    </row>
    <row r="94" spans="1:14" ht="15.75" customHeight="1" x14ac:dyDescent="0.25">
      <c r="A94" s="8" t="s">
        <v>17</v>
      </c>
      <c r="B94" s="8" t="s">
        <v>758</v>
      </c>
      <c r="C94" s="8" t="s">
        <v>799</v>
      </c>
      <c r="D94" s="8" t="s">
        <v>760</v>
      </c>
      <c r="E94" s="8" t="s">
        <v>384</v>
      </c>
      <c r="F94" s="9">
        <v>20</v>
      </c>
      <c r="G94" s="9">
        <v>20</v>
      </c>
      <c r="H94" s="9">
        <v>2.4</v>
      </c>
      <c r="I94" s="9">
        <v>5.3</v>
      </c>
      <c r="J94" s="9">
        <v>30</v>
      </c>
      <c r="K94" s="9">
        <v>65</v>
      </c>
      <c r="L94" s="8" t="s">
        <v>84</v>
      </c>
      <c r="M94" s="8" t="s">
        <v>762</v>
      </c>
      <c r="N94" s="9">
        <v>2025</v>
      </c>
    </row>
    <row r="95" spans="1:14" ht="15.75" customHeight="1" x14ac:dyDescent="0.25">
      <c r="A95" s="10" t="s">
        <v>17</v>
      </c>
      <c r="B95" s="10" t="s">
        <v>758</v>
      </c>
      <c r="C95" s="10" t="s">
        <v>807</v>
      </c>
      <c r="D95" s="10" t="s">
        <v>760</v>
      </c>
      <c r="E95" s="10" t="s">
        <v>384</v>
      </c>
      <c r="F95" s="11">
        <v>20</v>
      </c>
      <c r="G95" s="11">
        <v>20</v>
      </c>
      <c r="H95" s="11">
        <v>3.9</v>
      </c>
      <c r="I95" s="11">
        <v>5.5</v>
      </c>
      <c r="J95" s="11">
        <v>30</v>
      </c>
      <c r="K95" s="11">
        <v>125</v>
      </c>
      <c r="L95" s="10" t="s">
        <v>765</v>
      </c>
      <c r="M95" s="10" t="s">
        <v>762</v>
      </c>
      <c r="N95" s="11">
        <v>2024</v>
      </c>
    </row>
    <row r="96" spans="1:14" ht="15.75" customHeight="1" x14ac:dyDescent="0.25">
      <c r="A96" s="8" t="s">
        <v>17</v>
      </c>
      <c r="B96" s="8" t="s">
        <v>758</v>
      </c>
      <c r="C96" s="8" t="s">
        <v>823</v>
      </c>
      <c r="D96" s="8" t="s">
        <v>760</v>
      </c>
      <c r="E96" s="8" t="s">
        <v>384</v>
      </c>
      <c r="F96" s="9">
        <v>20</v>
      </c>
      <c r="G96" s="9">
        <v>20</v>
      </c>
      <c r="H96" s="9">
        <v>3.9</v>
      </c>
      <c r="I96" s="9">
        <v>5.5</v>
      </c>
      <c r="J96" s="9">
        <v>30</v>
      </c>
      <c r="K96" s="9">
        <v>125</v>
      </c>
      <c r="L96" s="8" t="s">
        <v>84</v>
      </c>
      <c r="M96" s="8" t="s">
        <v>762</v>
      </c>
      <c r="N96" s="9">
        <v>2024</v>
      </c>
    </row>
    <row r="97" spans="1:14" ht="15.75" customHeight="1" x14ac:dyDescent="0.25">
      <c r="A97" s="10" t="s">
        <v>17</v>
      </c>
      <c r="B97" s="10" t="s">
        <v>758</v>
      </c>
      <c r="C97" s="10" t="s">
        <v>830</v>
      </c>
      <c r="D97" s="10" t="s">
        <v>760</v>
      </c>
      <c r="E97" s="10" t="s">
        <v>384</v>
      </c>
      <c r="F97" s="11">
        <v>24</v>
      </c>
      <c r="G97" s="11">
        <v>24</v>
      </c>
      <c r="H97" s="11">
        <v>3.7</v>
      </c>
      <c r="I97" s="11">
        <v>5.7</v>
      </c>
      <c r="J97" s="11">
        <v>36</v>
      </c>
      <c r="K97" s="11">
        <v>125</v>
      </c>
      <c r="L97" s="10" t="s">
        <v>765</v>
      </c>
      <c r="M97" s="10" t="s">
        <v>762</v>
      </c>
      <c r="N97" s="11">
        <v>2024</v>
      </c>
    </row>
    <row r="98" spans="1:14" ht="15.75" customHeight="1" x14ac:dyDescent="0.25">
      <c r="A98" s="8" t="s">
        <v>412</v>
      </c>
      <c r="B98" s="8" t="s">
        <v>839</v>
      </c>
      <c r="C98" s="8" t="s">
        <v>840</v>
      </c>
      <c r="D98" s="8" t="s">
        <v>841</v>
      </c>
      <c r="E98" s="8" t="s">
        <v>440</v>
      </c>
      <c r="F98" s="9">
        <v>4</v>
      </c>
      <c r="G98" s="9">
        <v>4</v>
      </c>
      <c r="H98" s="9">
        <v>3.1</v>
      </c>
      <c r="I98" s="9">
        <v>3.4</v>
      </c>
      <c r="J98" s="9">
        <v>8</v>
      </c>
      <c r="K98" s="9">
        <v>65</v>
      </c>
      <c r="L98" s="8" t="s">
        <v>84</v>
      </c>
      <c r="M98" s="8" t="s">
        <v>846</v>
      </c>
      <c r="N98" s="9">
        <v>2017</v>
      </c>
    </row>
    <row r="99" spans="1:14" ht="15.75" customHeight="1" x14ac:dyDescent="0.25">
      <c r="A99" s="10" t="s">
        <v>412</v>
      </c>
      <c r="B99" s="10" t="s">
        <v>839</v>
      </c>
      <c r="C99" s="10" t="s">
        <v>849</v>
      </c>
      <c r="D99" s="10" t="s">
        <v>841</v>
      </c>
      <c r="E99" s="10" t="s">
        <v>440</v>
      </c>
      <c r="F99" s="11">
        <v>4</v>
      </c>
      <c r="G99" s="11">
        <v>4</v>
      </c>
      <c r="H99" s="11">
        <v>3.5</v>
      </c>
      <c r="I99" s="11">
        <v>3.7</v>
      </c>
      <c r="J99" s="11">
        <v>8</v>
      </c>
      <c r="K99" s="11">
        <v>65</v>
      </c>
      <c r="L99" s="10" t="s">
        <v>84</v>
      </c>
      <c r="M99" s="10" t="s">
        <v>846</v>
      </c>
      <c r="N99" s="11">
        <v>2017</v>
      </c>
    </row>
    <row r="100" spans="1:14" ht="15.75" customHeight="1" x14ac:dyDescent="0.25">
      <c r="A100" s="8" t="s">
        <v>412</v>
      </c>
      <c r="B100" s="8" t="s">
        <v>839</v>
      </c>
      <c r="C100" s="8" t="s">
        <v>856</v>
      </c>
      <c r="D100" s="8" t="s">
        <v>841</v>
      </c>
      <c r="E100" s="8" t="s">
        <v>440</v>
      </c>
      <c r="F100" s="9">
        <v>4</v>
      </c>
      <c r="G100" s="9">
        <v>8</v>
      </c>
      <c r="H100" s="9">
        <v>3.2</v>
      </c>
      <c r="I100" s="9">
        <v>3.4</v>
      </c>
      <c r="J100" s="9">
        <v>8</v>
      </c>
      <c r="K100" s="9">
        <v>65</v>
      </c>
      <c r="L100" s="8" t="s">
        <v>84</v>
      </c>
      <c r="M100" s="8" t="s">
        <v>846</v>
      </c>
      <c r="N100" s="9">
        <v>2017</v>
      </c>
    </row>
    <row r="101" spans="1:14" ht="15.75" customHeight="1" x14ac:dyDescent="0.25">
      <c r="A101" s="10" t="s">
        <v>412</v>
      </c>
      <c r="B101" s="10" t="s">
        <v>839</v>
      </c>
      <c r="C101" s="10" t="s">
        <v>870</v>
      </c>
      <c r="D101" s="10" t="s">
        <v>841</v>
      </c>
      <c r="E101" s="10" t="s">
        <v>440</v>
      </c>
      <c r="F101" s="11">
        <v>4</v>
      </c>
      <c r="G101" s="11">
        <v>8</v>
      </c>
      <c r="H101" s="11">
        <v>3.5</v>
      </c>
      <c r="I101" s="11">
        <v>3.7</v>
      </c>
      <c r="J101" s="11">
        <v>16</v>
      </c>
      <c r="K101" s="11">
        <v>65</v>
      </c>
      <c r="L101" s="10" t="s">
        <v>84</v>
      </c>
      <c r="M101" s="10" t="s">
        <v>846</v>
      </c>
      <c r="N101" s="11">
        <v>2017</v>
      </c>
    </row>
    <row r="102" spans="1:14" ht="15.75" customHeight="1" x14ac:dyDescent="0.25">
      <c r="A102" s="8" t="s">
        <v>412</v>
      </c>
      <c r="B102" s="8" t="s">
        <v>839</v>
      </c>
      <c r="C102" s="8" t="s">
        <v>879</v>
      </c>
      <c r="D102" s="8" t="s">
        <v>841</v>
      </c>
      <c r="E102" s="8" t="s">
        <v>440</v>
      </c>
      <c r="F102" s="9">
        <v>6</v>
      </c>
      <c r="G102" s="9">
        <v>12</v>
      </c>
      <c r="H102" s="9">
        <v>3.2</v>
      </c>
      <c r="I102" s="9">
        <v>3.6</v>
      </c>
      <c r="J102" s="9">
        <v>16</v>
      </c>
      <c r="K102" s="9">
        <v>65</v>
      </c>
      <c r="L102" s="8" t="s">
        <v>84</v>
      </c>
      <c r="M102" s="8" t="s">
        <v>846</v>
      </c>
      <c r="N102" s="9">
        <v>2017</v>
      </c>
    </row>
    <row r="103" spans="1:14" ht="15.75" customHeight="1" x14ac:dyDescent="0.25">
      <c r="A103" s="10" t="s">
        <v>412</v>
      </c>
      <c r="B103" s="10" t="s">
        <v>839</v>
      </c>
      <c r="C103" s="10" t="s">
        <v>883</v>
      </c>
      <c r="D103" s="10" t="s">
        <v>841</v>
      </c>
      <c r="E103" s="10" t="s">
        <v>440</v>
      </c>
      <c r="F103" s="11">
        <v>6</v>
      </c>
      <c r="G103" s="11">
        <v>12</v>
      </c>
      <c r="H103" s="11">
        <v>3.6</v>
      </c>
      <c r="I103" s="11">
        <v>4</v>
      </c>
      <c r="J103" s="11">
        <v>16</v>
      </c>
      <c r="K103" s="11">
        <v>95</v>
      </c>
      <c r="L103" s="10" t="s">
        <v>84</v>
      </c>
      <c r="M103" s="10" t="s">
        <v>846</v>
      </c>
      <c r="N103" s="11">
        <v>2017</v>
      </c>
    </row>
    <row r="104" spans="1:14" ht="15.75" customHeight="1" x14ac:dyDescent="0.25">
      <c r="A104" s="8" t="s">
        <v>412</v>
      </c>
      <c r="B104" s="8" t="s">
        <v>839</v>
      </c>
      <c r="C104" s="8" t="s">
        <v>892</v>
      </c>
      <c r="D104" s="8" t="s">
        <v>841</v>
      </c>
      <c r="E104" s="8" t="s">
        <v>440</v>
      </c>
      <c r="F104" s="9">
        <v>8</v>
      </c>
      <c r="G104" s="9">
        <v>16</v>
      </c>
      <c r="H104" s="9">
        <v>3</v>
      </c>
      <c r="I104" s="9">
        <v>3.7</v>
      </c>
      <c r="J104" s="9">
        <v>16</v>
      </c>
      <c r="K104" s="9">
        <v>65</v>
      </c>
      <c r="L104" s="8" t="s">
        <v>84</v>
      </c>
      <c r="M104" s="8" t="s">
        <v>846</v>
      </c>
      <c r="N104" s="9">
        <v>2017</v>
      </c>
    </row>
    <row r="105" spans="1:14" ht="15.75" customHeight="1" x14ac:dyDescent="0.25">
      <c r="A105" s="10" t="s">
        <v>412</v>
      </c>
      <c r="B105" s="10" t="s">
        <v>839</v>
      </c>
      <c r="C105" s="10" t="s">
        <v>903</v>
      </c>
      <c r="D105" s="10" t="s">
        <v>841</v>
      </c>
      <c r="E105" s="10" t="s">
        <v>440</v>
      </c>
      <c r="F105" s="11">
        <v>8</v>
      </c>
      <c r="G105" s="11">
        <v>16</v>
      </c>
      <c r="H105" s="11">
        <v>3.4</v>
      </c>
      <c r="I105" s="11">
        <v>3.8</v>
      </c>
      <c r="J105" s="11">
        <v>16</v>
      </c>
      <c r="K105" s="11">
        <v>95</v>
      </c>
      <c r="L105" s="10" t="s">
        <v>84</v>
      </c>
      <c r="M105" s="10" t="s">
        <v>846</v>
      </c>
      <c r="N105" s="11">
        <v>2017</v>
      </c>
    </row>
    <row r="106" spans="1:14" ht="15.75" customHeight="1" x14ac:dyDescent="0.25">
      <c r="A106" s="8" t="s">
        <v>412</v>
      </c>
      <c r="B106" s="8" t="s">
        <v>839</v>
      </c>
      <c r="C106" s="8" t="s">
        <v>910</v>
      </c>
      <c r="D106" s="8" t="s">
        <v>841</v>
      </c>
      <c r="E106" s="8" t="s">
        <v>440</v>
      </c>
      <c r="F106" s="9">
        <v>8</v>
      </c>
      <c r="G106" s="9">
        <v>16</v>
      </c>
      <c r="H106" s="9">
        <v>3.6</v>
      </c>
      <c r="I106" s="9">
        <v>4</v>
      </c>
      <c r="J106" s="9">
        <v>16</v>
      </c>
      <c r="K106" s="9">
        <v>95</v>
      </c>
      <c r="L106" s="8" t="s">
        <v>84</v>
      </c>
      <c r="M106" s="8" t="s">
        <v>846</v>
      </c>
      <c r="N106" s="9">
        <v>2017</v>
      </c>
    </row>
    <row r="107" spans="1:14" ht="15.75" customHeight="1" x14ac:dyDescent="0.25">
      <c r="A107" s="10" t="s">
        <v>412</v>
      </c>
      <c r="B107" s="10" t="s">
        <v>913</v>
      </c>
      <c r="C107" s="10" t="s">
        <v>914</v>
      </c>
      <c r="D107" s="10" t="s">
        <v>916</v>
      </c>
      <c r="E107" s="10" t="s">
        <v>440</v>
      </c>
      <c r="F107" s="11">
        <v>4</v>
      </c>
      <c r="G107" s="11">
        <v>4</v>
      </c>
      <c r="H107" s="11">
        <v>3.5</v>
      </c>
      <c r="I107" s="11">
        <v>3.7</v>
      </c>
      <c r="J107" s="11">
        <v>4</v>
      </c>
      <c r="K107" s="11">
        <v>65</v>
      </c>
      <c r="L107" s="10" t="s">
        <v>921</v>
      </c>
      <c r="M107" s="10" t="s">
        <v>173</v>
      </c>
      <c r="N107" s="11">
        <v>2018</v>
      </c>
    </row>
    <row r="108" spans="1:14" ht="15.75" customHeight="1" x14ac:dyDescent="0.25">
      <c r="A108" s="8" t="s">
        <v>412</v>
      </c>
      <c r="B108" s="8" t="s">
        <v>913</v>
      </c>
      <c r="C108" s="8" t="s">
        <v>925</v>
      </c>
      <c r="D108" s="8" t="s">
        <v>916</v>
      </c>
      <c r="E108" s="8" t="s">
        <v>440</v>
      </c>
      <c r="F108" s="9">
        <v>4</v>
      </c>
      <c r="G108" s="9">
        <v>8</v>
      </c>
      <c r="H108" s="9">
        <v>3.6</v>
      </c>
      <c r="I108" s="9">
        <v>3.9</v>
      </c>
      <c r="J108" s="9">
        <v>4</v>
      </c>
      <c r="K108" s="9">
        <v>65</v>
      </c>
      <c r="L108" s="8" t="s">
        <v>928</v>
      </c>
      <c r="M108" s="8" t="s">
        <v>173</v>
      </c>
      <c r="N108" s="9">
        <v>2018</v>
      </c>
    </row>
    <row r="109" spans="1:14" ht="15.75" customHeight="1" x14ac:dyDescent="0.25">
      <c r="A109" s="10" t="s">
        <v>412</v>
      </c>
      <c r="B109" s="10" t="s">
        <v>935</v>
      </c>
      <c r="C109" s="10" t="s">
        <v>937</v>
      </c>
      <c r="D109" s="10" t="s">
        <v>938</v>
      </c>
      <c r="E109" s="10" t="s">
        <v>440</v>
      </c>
      <c r="F109" s="11">
        <v>6</v>
      </c>
      <c r="G109" s="11">
        <v>12</v>
      </c>
      <c r="H109" s="11">
        <v>3.4</v>
      </c>
      <c r="I109" s="11">
        <v>3.9</v>
      </c>
      <c r="J109" s="11">
        <v>16</v>
      </c>
      <c r="K109" s="11">
        <v>65</v>
      </c>
      <c r="L109" s="10" t="s">
        <v>84</v>
      </c>
      <c r="M109" s="10" t="s">
        <v>173</v>
      </c>
      <c r="N109" s="11">
        <v>2018</v>
      </c>
    </row>
    <row r="110" spans="1:14" ht="15.75" customHeight="1" x14ac:dyDescent="0.25">
      <c r="A110" s="8" t="s">
        <v>412</v>
      </c>
      <c r="B110" s="8" t="s">
        <v>935</v>
      </c>
      <c r="C110" s="8" t="s">
        <v>944</v>
      </c>
      <c r="D110" s="8" t="s">
        <v>938</v>
      </c>
      <c r="E110" s="8" t="s">
        <v>440</v>
      </c>
      <c r="F110" s="9">
        <v>6</v>
      </c>
      <c r="G110" s="9">
        <v>12</v>
      </c>
      <c r="H110" s="9">
        <v>3.6</v>
      </c>
      <c r="I110" s="9">
        <v>4.2</v>
      </c>
      <c r="J110" s="9">
        <v>16</v>
      </c>
      <c r="K110" s="9">
        <v>95</v>
      </c>
      <c r="L110" s="8" t="s">
        <v>84</v>
      </c>
      <c r="M110" s="8" t="s">
        <v>173</v>
      </c>
      <c r="N110" s="9">
        <v>2018</v>
      </c>
    </row>
    <row r="111" spans="1:14" ht="15.75" customHeight="1" x14ac:dyDescent="0.25">
      <c r="A111" s="10" t="s">
        <v>412</v>
      </c>
      <c r="B111" s="10" t="s">
        <v>935</v>
      </c>
      <c r="C111" s="10" t="s">
        <v>957</v>
      </c>
      <c r="D111" s="10" t="s">
        <v>938</v>
      </c>
      <c r="E111" s="10" t="s">
        <v>440</v>
      </c>
      <c r="F111" s="11">
        <v>8</v>
      </c>
      <c r="G111" s="11">
        <v>16</v>
      </c>
      <c r="H111" s="11">
        <v>3.2</v>
      </c>
      <c r="I111" s="11">
        <v>4.0999999999999996</v>
      </c>
      <c r="J111" s="11">
        <v>16</v>
      </c>
      <c r="K111" s="11">
        <v>65</v>
      </c>
      <c r="L111" s="10" t="s">
        <v>84</v>
      </c>
      <c r="M111" s="10" t="s">
        <v>173</v>
      </c>
      <c r="N111" s="11">
        <v>2018</v>
      </c>
    </row>
    <row r="112" spans="1:14" ht="15.75" customHeight="1" x14ac:dyDescent="0.25">
      <c r="A112" s="8" t="s">
        <v>412</v>
      </c>
      <c r="B112" s="8" t="s">
        <v>935</v>
      </c>
      <c r="C112" s="8" t="s">
        <v>969</v>
      </c>
      <c r="D112" s="8" t="s">
        <v>938</v>
      </c>
      <c r="E112" s="8" t="s">
        <v>440</v>
      </c>
      <c r="F112" s="9">
        <v>8</v>
      </c>
      <c r="G112" s="9">
        <v>16</v>
      </c>
      <c r="H112" s="9">
        <v>3.7</v>
      </c>
      <c r="I112" s="9">
        <v>4.3</v>
      </c>
      <c r="J112" s="9">
        <v>16</v>
      </c>
      <c r="K112" s="9">
        <v>105</v>
      </c>
      <c r="L112" s="8" t="s">
        <v>84</v>
      </c>
      <c r="M112" s="8" t="s">
        <v>173</v>
      </c>
      <c r="N112" s="9">
        <v>2018</v>
      </c>
    </row>
    <row r="113" spans="1:14" ht="15.75" customHeight="1" x14ac:dyDescent="0.25">
      <c r="A113" s="10" t="s">
        <v>412</v>
      </c>
      <c r="B113" s="10" t="s">
        <v>978</v>
      </c>
      <c r="C113" s="10" t="s">
        <v>981</v>
      </c>
      <c r="D113" s="10" t="s">
        <v>982</v>
      </c>
      <c r="E113" s="10" t="s">
        <v>440</v>
      </c>
      <c r="F113" s="11">
        <v>4</v>
      </c>
      <c r="G113" s="11">
        <v>4</v>
      </c>
      <c r="H113" s="11">
        <v>3.6</v>
      </c>
      <c r="I113" s="11">
        <v>4</v>
      </c>
      <c r="J113" s="11">
        <v>4</v>
      </c>
      <c r="K113" s="11">
        <v>65</v>
      </c>
      <c r="L113" s="10" t="s">
        <v>921</v>
      </c>
      <c r="M113" s="10" t="s">
        <v>173</v>
      </c>
      <c r="N113" s="11">
        <v>2019</v>
      </c>
    </row>
    <row r="114" spans="1:14" ht="15.75" customHeight="1" x14ac:dyDescent="0.25">
      <c r="A114" s="8" t="s">
        <v>412</v>
      </c>
      <c r="B114" s="8" t="s">
        <v>978</v>
      </c>
      <c r="C114" s="8" t="s">
        <v>994</v>
      </c>
      <c r="D114" s="8" t="s">
        <v>982</v>
      </c>
      <c r="E114" s="8" t="s">
        <v>440</v>
      </c>
      <c r="F114" s="9">
        <v>4</v>
      </c>
      <c r="G114" s="9">
        <v>8</v>
      </c>
      <c r="H114" s="9">
        <v>3.7</v>
      </c>
      <c r="I114" s="9">
        <v>4.2</v>
      </c>
      <c r="J114" s="9">
        <v>4</v>
      </c>
      <c r="K114" s="9">
        <v>65</v>
      </c>
      <c r="L114" s="8" t="s">
        <v>928</v>
      </c>
      <c r="M114" s="8" t="s">
        <v>173</v>
      </c>
      <c r="N114" s="9">
        <v>2019</v>
      </c>
    </row>
    <row r="115" spans="1:14" ht="15.75" customHeight="1" x14ac:dyDescent="0.25">
      <c r="A115" s="10" t="s">
        <v>412</v>
      </c>
      <c r="B115" s="10" t="s">
        <v>1005</v>
      </c>
      <c r="C115" s="10" t="s">
        <v>1006</v>
      </c>
      <c r="D115" s="10" t="s">
        <v>1007</v>
      </c>
      <c r="E115" s="10" t="s">
        <v>440</v>
      </c>
      <c r="F115" s="11">
        <v>4</v>
      </c>
      <c r="G115" s="11">
        <v>8</v>
      </c>
      <c r="H115" s="11">
        <v>3.6</v>
      </c>
      <c r="I115" s="11">
        <v>3.9</v>
      </c>
      <c r="J115" s="11">
        <v>16</v>
      </c>
      <c r="K115" s="11">
        <v>65</v>
      </c>
      <c r="L115" s="10" t="s">
        <v>84</v>
      </c>
      <c r="M115" s="10" t="s">
        <v>284</v>
      </c>
      <c r="N115" s="11">
        <v>2020</v>
      </c>
    </row>
    <row r="116" spans="1:14" ht="15.75" customHeight="1" x14ac:dyDescent="0.25">
      <c r="A116" s="8" t="s">
        <v>412</v>
      </c>
      <c r="B116" s="8" t="s">
        <v>1005</v>
      </c>
      <c r="C116" s="8" t="s">
        <v>1017</v>
      </c>
      <c r="D116" s="8" t="s">
        <v>1007</v>
      </c>
      <c r="E116" s="8" t="s">
        <v>440</v>
      </c>
      <c r="F116" s="9">
        <v>4</v>
      </c>
      <c r="G116" s="9">
        <v>8</v>
      </c>
      <c r="H116" s="9">
        <v>3.8</v>
      </c>
      <c r="I116" s="9">
        <v>4.3</v>
      </c>
      <c r="J116" s="9">
        <v>16</v>
      </c>
      <c r="K116" s="9">
        <v>65</v>
      </c>
      <c r="L116" s="8" t="s">
        <v>84</v>
      </c>
      <c r="M116" s="8" t="s">
        <v>284</v>
      </c>
      <c r="N116" s="9">
        <v>2020</v>
      </c>
    </row>
    <row r="117" spans="1:14" ht="15.75" customHeight="1" x14ac:dyDescent="0.25">
      <c r="A117" s="10" t="s">
        <v>412</v>
      </c>
      <c r="B117" s="10" t="s">
        <v>1005</v>
      </c>
      <c r="C117" s="10" t="s">
        <v>1026</v>
      </c>
      <c r="D117" s="10" t="s">
        <v>1007</v>
      </c>
      <c r="E117" s="10" t="s">
        <v>440</v>
      </c>
      <c r="F117" s="11">
        <v>6</v>
      </c>
      <c r="G117" s="11">
        <v>6</v>
      </c>
      <c r="H117" s="11">
        <v>3.6</v>
      </c>
      <c r="I117" s="11">
        <v>4.0999999999999996</v>
      </c>
      <c r="J117" s="11">
        <v>32</v>
      </c>
      <c r="K117" s="11">
        <v>65</v>
      </c>
      <c r="L117" s="10" t="s">
        <v>84</v>
      </c>
      <c r="M117" s="10" t="s">
        <v>284</v>
      </c>
      <c r="N117" s="11">
        <v>2019</v>
      </c>
    </row>
    <row r="118" spans="1:14" ht="15.75" customHeight="1" x14ac:dyDescent="0.25">
      <c r="A118" s="8" t="s">
        <v>412</v>
      </c>
      <c r="B118" s="8" t="s">
        <v>1005</v>
      </c>
      <c r="C118" s="8" t="s">
        <v>1033</v>
      </c>
      <c r="D118" s="8" t="s">
        <v>1007</v>
      </c>
      <c r="E118" s="8" t="s">
        <v>440</v>
      </c>
      <c r="F118" s="9">
        <v>6</v>
      </c>
      <c r="G118" s="9">
        <v>12</v>
      </c>
      <c r="H118" s="9">
        <v>3.6</v>
      </c>
      <c r="I118" s="9">
        <v>4.2</v>
      </c>
      <c r="J118" s="9">
        <v>32</v>
      </c>
      <c r="K118" s="9">
        <v>65</v>
      </c>
      <c r="L118" s="8" t="s">
        <v>84</v>
      </c>
      <c r="M118" s="8" t="s">
        <v>284</v>
      </c>
      <c r="N118" s="9">
        <v>2019</v>
      </c>
    </row>
    <row r="119" spans="1:14" ht="15.75" customHeight="1" x14ac:dyDescent="0.25">
      <c r="A119" s="10" t="s">
        <v>412</v>
      </c>
      <c r="B119" s="10" t="s">
        <v>1005</v>
      </c>
      <c r="C119" s="10" t="s">
        <v>1044</v>
      </c>
      <c r="D119" s="10" t="s">
        <v>1007</v>
      </c>
      <c r="E119" s="10" t="s">
        <v>440</v>
      </c>
      <c r="F119" s="11">
        <v>6</v>
      </c>
      <c r="G119" s="11">
        <v>12</v>
      </c>
      <c r="H119" s="11">
        <v>3.8</v>
      </c>
      <c r="I119" s="11">
        <v>4.4000000000000004</v>
      </c>
      <c r="J119" s="11">
        <v>32</v>
      </c>
      <c r="K119" s="11">
        <v>95</v>
      </c>
      <c r="L119" s="10" t="s">
        <v>84</v>
      </c>
      <c r="M119" s="10" t="s">
        <v>284</v>
      </c>
      <c r="N119" s="11">
        <v>2019</v>
      </c>
    </row>
    <row r="120" spans="1:14" ht="15.75" customHeight="1" x14ac:dyDescent="0.25">
      <c r="A120" s="8" t="s">
        <v>412</v>
      </c>
      <c r="B120" s="8" t="s">
        <v>1005</v>
      </c>
      <c r="C120" s="8" t="s">
        <v>1055</v>
      </c>
      <c r="D120" s="8" t="s">
        <v>1007</v>
      </c>
      <c r="E120" s="8" t="s">
        <v>440</v>
      </c>
      <c r="F120" s="9">
        <v>6</v>
      </c>
      <c r="G120" s="9">
        <v>12</v>
      </c>
      <c r="H120" s="9">
        <v>3.8</v>
      </c>
      <c r="I120" s="9">
        <v>4.5</v>
      </c>
      <c r="J120" s="9">
        <v>32</v>
      </c>
      <c r="K120" s="9">
        <v>95</v>
      </c>
      <c r="L120" s="8" t="s">
        <v>84</v>
      </c>
      <c r="M120" s="8" t="s">
        <v>284</v>
      </c>
      <c r="N120" s="9">
        <v>2020</v>
      </c>
    </row>
    <row r="121" spans="1:14" ht="15.75" customHeight="1" x14ac:dyDescent="0.25">
      <c r="A121" s="10" t="s">
        <v>412</v>
      </c>
      <c r="B121" s="10" t="s">
        <v>1005</v>
      </c>
      <c r="C121" s="10" t="s">
        <v>1065</v>
      </c>
      <c r="D121" s="10" t="s">
        <v>1007</v>
      </c>
      <c r="E121" s="10" t="s">
        <v>440</v>
      </c>
      <c r="F121" s="11">
        <v>8</v>
      </c>
      <c r="G121" s="11">
        <v>16</v>
      </c>
      <c r="H121" s="11">
        <v>3.6</v>
      </c>
      <c r="I121" s="11">
        <v>4.4000000000000004</v>
      </c>
      <c r="J121" s="11">
        <v>32</v>
      </c>
      <c r="K121" s="11">
        <v>65</v>
      </c>
      <c r="L121" s="10" t="s">
        <v>84</v>
      </c>
      <c r="M121" s="10" t="s">
        <v>284</v>
      </c>
      <c r="N121" s="11">
        <v>2019</v>
      </c>
    </row>
    <row r="122" spans="1:14" ht="15.75" customHeight="1" x14ac:dyDescent="0.25">
      <c r="A122" s="8" t="s">
        <v>412</v>
      </c>
      <c r="B122" s="8" t="s">
        <v>1005</v>
      </c>
      <c r="C122" s="8" t="s">
        <v>1070</v>
      </c>
      <c r="D122" s="8" t="s">
        <v>1007</v>
      </c>
      <c r="E122" s="8" t="s">
        <v>440</v>
      </c>
      <c r="F122" s="9">
        <v>8</v>
      </c>
      <c r="G122" s="9">
        <v>16</v>
      </c>
      <c r="H122" s="9">
        <v>3.9</v>
      </c>
      <c r="I122" s="9">
        <v>4.5</v>
      </c>
      <c r="J122" s="9">
        <v>32</v>
      </c>
      <c r="K122" s="9">
        <v>105</v>
      </c>
      <c r="L122" s="8" t="s">
        <v>84</v>
      </c>
      <c r="M122" s="8" t="s">
        <v>284</v>
      </c>
      <c r="N122" s="9">
        <v>2019</v>
      </c>
    </row>
    <row r="123" spans="1:14" ht="15.75" customHeight="1" x14ac:dyDescent="0.25">
      <c r="A123" s="10" t="s">
        <v>412</v>
      </c>
      <c r="B123" s="10" t="s">
        <v>1005</v>
      </c>
      <c r="C123" s="10" t="s">
        <v>1078</v>
      </c>
      <c r="D123" s="10" t="s">
        <v>1007</v>
      </c>
      <c r="E123" s="10" t="s">
        <v>440</v>
      </c>
      <c r="F123" s="11">
        <v>8</v>
      </c>
      <c r="G123" s="11">
        <v>16</v>
      </c>
      <c r="H123" s="11">
        <v>3.9</v>
      </c>
      <c r="I123" s="11">
        <v>4.7</v>
      </c>
      <c r="J123" s="11">
        <v>32</v>
      </c>
      <c r="K123" s="11">
        <v>105</v>
      </c>
      <c r="L123" s="10" t="s">
        <v>84</v>
      </c>
      <c r="M123" s="10" t="s">
        <v>284</v>
      </c>
      <c r="N123" s="11">
        <v>2020</v>
      </c>
    </row>
    <row r="124" spans="1:14" ht="15.75" customHeight="1" x14ac:dyDescent="0.25">
      <c r="A124" s="8" t="s">
        <v>412</v>
      </c>
      <c r="B124" s="8" t="s">
        <v>1005</v>
      </c>
      <c r="C124" s="8" t="s">
        <v>1089</v>
      </c>
      <c r="D124" s="8" t="s">
        <v>1007</v>
      </c>
      <c r="E124" s="8" t="s">
        <v>440</v>
      </c>
      <c r="F124" s="9">
        <v>12</v>
      </c>
      <c r="G124" s="9">
        <v>24</v>
      </c>
      <c r="H124" s="9">
        <v>3.8</v>
      </c>
      <c r="I124" s="9">
        <v>4.5999999999999996</v>
      </c>
      <c r="J124" s="9">
        <v>64</v>
      </c>
      <c r="K124" s="9">
        <v>105</v>
      </c>
      <c r="L124" s="8" t="s">
        <v>84</v>
      </c>
      <c r="M124" s="8" t="s">
        <v>284</v>
      </c>
      <c r="N124" s="9">
        <v>2019</v>
      </c>
    </row>
    <row r="125" spans="1:14" ht="15.75" customHeight="1" x14ac:dyDescent="0.25">
      <c r="A125" s="10" t="s">
        <v>412</v>
      </c>
      <c r="B125" s="10" t="s">
        <v>1005</v>
      </c>
      <c r="C125" s="10" t="s">
        <v>1102</v>
      </c>
      <c r="D125" s="10" t="s">
        <v>1007</v>
      </c>
      <c r="E125" s="10" t="s">
        <v>440</v>
      </c>
      <c r="F125" s="11">
        <v>12</v>
      </c>
      <c r="G125" s="11">
        <v>24</v>
      </c>
      <c r="H125" s="11">
        <v>3.8</v>
      </c>
      <c r="I125" s="11">
        <v>4.7</v>
      </c>
      <c r="J125" s="11">
        <v>64</v>
      </c>
      <c r="K125" s="11">
        <v>105</v>
      </c>
      <c r="L125" s="10" t="s">
        <v>84</v>
      </c>
      <c r="M125" s="10" t="s">
        <v>284</v>
      </c>
      <c r="N125" s="11">
        <v>2020</v>
      </c>
    </row>
    <row r="126" spans="1:14" ht="15.75" customHeight="1" x14ac:dyDescent="0.25">
      <c r="A126" s="8" t="s">
        <v>412</v>
      </c>
      <c r="B126" s="8" t="s">
        <v>1005</v>
      </c>
      <c r="C126" s="8" t="s">
        <v>1112</v>
      </c>
      <c r="D126" s="8" t="s">
        <v>1007</v>
      </c>
      <c r="E126" s="8" t="s">
        <v>440</v>
      </c>
      <c r="F126" s="9">
        <v>16</v>
      </c>
      <c r="G126" s="9">
        <v>32</v>
      </c>
      <c r="H126" s="9">
        <v>3.5</v>
      </c>
      <c r="I126" s="9">
        <v>4.7</v>
      </c>
      <c r="J126" s="9">
        <v>64</v>
      </c>
      <c r="K126" s="9">
        <v>105</v>
      </c>
      <c r="L126" s="8" t="s">
        <v>84</v>
      </c>
      <c r="M126" s="8" t="s">
        <v>284</v>
      </c>
      <c r="N126" s="9">
        <v>2019</v>
      </c>
    </row>
    <row r="127" spans="1:14" ht="15.75" customHeight="1" x14ac:dyDescent="0.25">
      <c r="A127" s="10" t="s">
        <v>412</v>
      </c>
      <c r="B127" s="10" t="s">
        <v>1121</v>
      </c>
      <c r="C127" s="10" t="s">
        <v>1123</v>
      </c>
      <c r="D127" s="10" t="s">
        <v>1125</v>
      </c>
      <c r="E127" s="10" t="s">
        <v>440</v>
      </c>
      <c r="F127" s="11">
        <v>4</v>
      </c>
      <c r="G127" s="11">
        <v>8</v>
      </c>
      <c r="H127" s="11">
        <v>3.8</v>
      </c>
      <c r="I127" s="11">
        <v>4</v>
      </c>
      <c r="J127" s="11">
        <v>4</v>
      </c>
      <c r="K127" s="11">
        <v>65</v>
      </c>
      <c r="L127" s="10" t="s">
        <v>84</v>
      </c>
      <c r="M127" s="10" t="s">
        <v>284</v>
      </c>
      <c r="N127" s="11">
        <v>2022</v>
      </c>
    </row>
    <row r="128" spans="1:14" ht="15.75" customHeight="1" x14ac:dyDescent="0.25">
      <c r="A128" s="8" t="s">
        <v>412</v>
      </c>
      <c r="B128" s="8" t="s">
        <v>1121</v>
      </c>
      <c r="C128" s="8" t="s">
        <v>1135</v>
      </c>
      <c r="D128" s="8" t="s">
        <v>1125</v>
      </c>
      <c r="E128" s="8" t="s">
        <v>440</v>
      </c>
      <c r="F128" s="9">
        <v>4</v>
      </c>
      <c r="G128" s="9">
        <v>8</v>
      </c>
      <c r="H128" s="9">
        <v>3.8</v>
      </c>
      <c r="I128" s="9">
        <v>4</v>
      </c>
      <c r="J128" s="9">
        <v>4</v>
      </c>
      <c r="K128" s="9">
        <v>65</v>
      </c>
      <c r="L128" s="8" t="s">
        <v>1141</v>
      </c>
      <c r="M128" s="8" t="s">
        <v>284</v>
      </c>
      <c r="N128" s="9">
        <v>2020</v>
      </c>
    </row>
    <row r="129" spans="1:14" ht="15.75" customHeight="1" x14ac:dyDescent="0.25">
      <c r="A129" s="10" t="s">
        <v>412</v>
      </c>
      <c r="B129" s="10" t="s">
        <v>1121</v>
      </c>
      <c r="C129" s="10" t="s">
        <v>1145</v>
      </c>
      <c r="D129" s="10" t="s">
        <v>1125</v>
      </c>
      <c r="E129" s="10" t="s">
        <v>440</v>
      </c>
      <c r="F129" s="11">
        <v>6</v>
      </c>
      <c r="G129" s="11">
        <v>12</v>
      </c>
      <c r="H129" s="11">
        <v>3.6</v>
      </c>
      <c r="I129" s="11">
        <v>4.0999999999999996</v>
      </c>
      <c r="J129" s="11">
        <v>8</v>
      </c>
      <c r="K129" s="11">
        <v>65</v>
      </c>
      <c r="L129" s="10" t="s">
        <v>84</v>
      </c>
      <c r="M129" s="10" t="s">
        <v>284</v>
      </c>
      <c r="N129" s="11">
        <v>2022</v>
      </c>
    </row>
    <row r="130" spans="1:14" ht="15.75" customHeight="1" x14ac:dyDescent="0.25">
      <c r="A130" s="8" t="s">
        <v>412</v>
      </c>
      <c r="B130" s="8" t="s">
        <v>1121</v>
      </c>
      <c r="C130" s="8" t="s">
        <v>1154</v>
      </c>
      <c r="D130" s="8" t="s">
        <v>1125</v>
      </c>
      <c r="E130" s="8" t="s">
        <v>440</v>
      </c>
      <c r="F130" s="9">
        <v>6</v>
      </c>
      <c r="G130" s="9">
        <v>12</v>
      </c>
      <c r="H130" s="9">
        <v>3.7</v>
      </c>
      <c r="I130" s="9">
        <v>4.2</v>
      </c>
      <c r="J130" s="9">
        <v>8</v>
      </c>
      <c r="K130" s="9">
        <v>65</v>
      </c>
      <c r="L130" s="8" t="s">
        <v>1158</v>
      </c>
      <c r="M130" s="8" t="s">
        <v>284</v>
      </c>
      <c r="N130" s="9">
        <v>2020</v>
      </c>
    </row>
    <row r="131" spans="1:14" ht="15.75" customHeight="1" x14ac:dyDescent="0.25">
      <c r="A131" s="10" t="s">
        <v>412</v>
      </c>
      <c r="B131" s="10" t="s">
        <v>1121</v>
      </c>
      <c r="C131" s="10" t="s">
        <v>1172</v>
      </c>
      <c r="D131" s="10" t="s">
        <v>1125</v>
      </c>
      <c r="E131" s="10" t="s">
        <v>440</v>
      </c>
      <c r="F131" s="11">
        <v>8</v>
      </c>
      <c r="G131" s="11">
        <v>16</v>
      </c>
      <c r="H131" s="11">
        <v>3.6</v>
      </c>
      <c r="I131" s="11">
        <v>4.4000000000000004</v>
      </c>
      <c r="J131" s="11">
        <v>8</v>
      </c>
      <c r="K131" s="11">
        <v>65</v>
      </c>
      <c r="L131" s="10" t="s">
        <v>921</v>
      </c>
      <c r="M131" s="10" t="s">
        <v>284</v>
      </c>
      <c r="N131" s="11">
        <v>2020</v>
      </c>
    </row>
    <row r="132" spans="1:14" ht="15.75" customHeight="1" x14ac:dyDescent="0.25">
      <c r="A132" s="8" t="s">
        <v>412</v>
      </c>
      <c r="B132" s="8" t="s">
        <v>1179</v>
      </c>
      <c r="C132" s="8" t="s">
        <v>1181</v>
      </c>
      <c r="D132" s="8" t="s">
        <v>1182</v>
      </c>
      <c r="E132" s="8" t="s">
        <v>440</v>
      </c>
      <c r="F132" s="9">
        <v>4</v>
      </c>
      <c r="G132" s="9">
        <v>8</v>
      </c>
      <c r="H132" s="9">
        <v>4</v>
      </c>
      <c r="I132" s="9">
        <v>4.2</v>
      </c>
      <c r="J132" s="9">
        <v>8</v>
      </c>
      <c r="K132" s="9">
        <v>65</v>
      </c>
      <c r="L132" s="8" t="s">
        <v>1141</v>
      </c>
      <c r="M132" s="8" t="s">
        <v>284</v>
      </c>
      <c r="N132" s="9">
        <v>2021</v>
      </c>
    </row>
    <row r="133" spans="1:14" ht="15.75" customHeight="1" x14ac:dyDescent="0.25">
      <c r="A133" s="10" t="s">
        <v>412</v>
      </c>
      <c r="B133" s="10" t="s">
        <v>1191</v>
      </c>
      <c r="C133" s="10" t="s">
        <v>1193</v>
      </c>
      <c r="D133" s="10" t="s">
        <v>1182</v>
      </c>
      <c r="E133" s="10" t="s">
        <v>440</v>
      </c>
      <c r="F133" s="11">
        <v>6</v>
      </c>
      <c r="G133" s="11">
        <v>12</v>
      </c>
      <c r="H133" s="11">
        <v>3.6</v>
      </c>
      <c r="I133" s="11">
        <v>4.2</v>
      </c>
      <c r="J133" s="11">
        <v>16</v>
      </c>
      <c r="K133" s="11">
        <v>65</v>
      </c>
      <c r="L133" s="10" t="s">
        <v>84</v>
      </c>
      <c r="M133" s="10" t="s">
        <v>284</v>
      </c>
      <c r="N133" s="11">
        <v>2022</v>
      </c>
    </row>
    <row r="134" spans="1:14" ht="15.75" customHeight="1" x14ac:dyDescent="0.25">
      <c r="A134" s="8" t="s">
        <v>412</v>
      </c>
      <c r="B134" s="8" t="s">
        <v>1179</v>
      </c>
      <c r="C134" s="8" t="s">
        <v>1207</v>
      </c>
      <c r="D134" s="8" t="s">
        <v>1182</v>
      </c>
      <c r="E134" s="8" t="s">
        <v>440</v>
      </c>
      <c r="F134" s="9">
        <v>6</v>
      </c>
      <c r="G134" s="9">
        <v>12</v>
      </c>
      <c r="H134" s="9">
        <v>3.6</v>
      </c>
      <c r="I134" s="9">
        <v>4.4000000000000004</v>
      </c>
      <c r="J134" s="9">
        <v>16</v>
      </c>
      <c r="K134" s="9">
        <v>65</v>
      </c>
      <c r="L134" s="8" t="s">
        <v>1158</v>
      </c>
      <c r="M134" s="8" t="s">
        <v>284</v>
      </c>
      <c r="N134" s="9">
        <v>2024</v>
      </c>
    </row>
    <row r="135" spans="1:14" ht="15.75" customHeight="1" x14ac:dyDescent="0.25">
      <c r="A135" s="10" t="s">
        <v>412</v>
      </c>
      <c r="B135" s="10" t="s">
        <v>1191</v>
      </c>
      <c r="C135" s="10" t="s">
        <v>1216</v>
      </c>
      <c r="D135" s="10" t="s">
        <v>1218</v>
      </c>
      <c r="E135" s="10" t="s">
        <v>440</v>
      </c>
      <c r="F135" s="11">
        <v>6</v>
      </c>
      <c r="G135" s="11">
        <v>12</v>
      </c>
      <c r="H135" s="11">
        <v>3.5</v>
      </c>
      <c r="I135" s="11">
        <v>4.4000000000000004</v>
      </c>
      <c r="J135" s="11">
        <v>32</v>
      </c>
      <c r="K135" s="11">
        <v>65</v>
      </c>
      <c r="L135" s="10" t="s">
        <v>84</v>
      </c>
      <c r="M135" s="10" t="s">
        <v>284</v>
      </c>
      <c r="N135" s="11">
        <v>2022</v>
      </c>
    </row>
    <row r="136" spans="1:14" ht="15.75" customHeight="1" x14ac:dyDescent="0.25">
      <c r="A136" s="8" t="s">
        <v>412</v>
      </c>
      <c r="B136" s="8" t="s">
        <v>1179</v>
      </c>
      <c r="C136" s="8" t="s">
        <v>1227</v>
      </c>
      <c r="D136" s="8" t="s">
        <v>1182</v>
      </c>
      <c r="E136" s="8" t="s">
        <v>440</v>
      </c>
      <c r="F136" s="9">
        <v>6</v>
      </c>
      <c r="G136" s="9">
        <v>12</v>
      </c>
      <c r="H136" s="9">
        <v>3.9</v>
      </c>
      <c r="I136" s="9">
        <v>4.4000000000000004</v>
      </c>
      <c r="J136" s="9">
        <v>16</v>
      </c>
      <c r="K136" s="9">
        <v>65</v>
      </c>
      <c r="L136" s="8" t="s">
        <v>1158</v>
      </c>
      <c r="M136" s="8" t="s">
        <v>284</v>
      </c>
      <c r="N136" s="9">
        <v>2021</v>
      </c>
    </row>
    <row r="137" spans="1:14" ht="15.75" customHeight="1" x14ac:dyDescent="0.25">
      <c r="A137" s="10" t="s">
        <v>412</v>
      </c>
      <c r="B137" s="10" t="s">
        <v>1179</v>
      </c>
      <c r="C137" s="10" t="s">
        <v>1238</v>
      </c>
      <c r="D137" s="10" t="s">
        <v>1182</v>
      </c>
      <c r="E137" s="10" t="s">
        <v>440</v>
      </c>
      <c r="F137" s="11">
        <v>6</v>
      </c>
      <c r="G137" s="11">
        <v>12</v>
      </c>
      <c r="H137" s="11">
        <v>3.6</v>
      </c>
      <c r="I137" s="11">
        <v>4.5999999999999996</v>
      </c>
      <c r="J137" s="11">
        <v>16</v>
      </c>
      <c r="K137" s="11">
        <v>65</v>
      </c>
      <c r="L137" s="10" t="s">
        <v>1158</v>
      </c>
      <c r="M137" s="10" t="s">
        <v>284</v>
      </c>
      <c r="N137" s="11">
        <v>2024</v>
      </c>
    </row>
    <row r="138" spans="1:14" ht="15.75" customHeight="1" x14ac:dyDescent="0.25">
      <c r="A138" s="8" t="s">
        <v>412</v>
      </c>
      <c r="B138" s="8" t="s">
        <v>1191</v>
      </c>
      <c r="C138" s="8" t="s">
        <v>1248</v>
      </c>
      <c r="D138" s="8" t="s">
        <v>1218</v>
      </c>
      <c r="E138" s="8" t="s">
        <v>440</v>
      </c>
      <c r="F138" s="9">
        <v>6</v>
      </c>
      <c r="G138" s="9">
        <v>12</v>
      </c>
      <c r="H138" s="9">
        <v>3.7</v>
      </c>
      <c r="I138" s="9">
        <v>4.5999999999999996</v>
      </c>
      <c r="J138" s="9">
        <v>32</v>
      </c>
      <c r="K138" s="9">
        <v>65</v>
      </c>
      <c r="L138" s="8" t="s">
        <v>84</v>
      </c>
      <c r="M138" s="8" t="s">
        <v>284</v>
      </c>
      <c r="N138" s="9">
        <v>2020</v>
      </c>
    </row>
    <row r="139" spans="1:14" ht="15.75" customHeight="1" x14ac:dyDescent="0.25">
      <c r="A139" s="10" t="s">
        <v>412</v>
      </c>
      <c r="B139" s="10" t="s">
        <v>1256</v>
      </c>
      <c r="C139" s="10" t="s">
        <v>1257</v>
      </c>
      <c r="D139" s="10" t="s">
        <v>1218</v>
      </c>
      <c r="E139" s="10" t="s">
        <v>440</v>
      </c>
      <c r="F139" s="11">
        <v>6</v>
      </c>
      <c r="G139" s="11">
        <v>12</v>
      </c>
      <c r="H139" s="11">
        <v>3.3</v>
      </c>
      <c r="I139" s="11">
        <v>4.4000000000000004</v>
      </c>
      <c r="J139" s="11">
        <v>96</v>
      </c>
      <c r="K139" s="11">
        <v>105</v>
      </c>
      <c r="L139" s="10" t="s">
        <v>84</v>
      </c>
      <c r="M139" s="10" t="s">
        <v>284</v>
      </c>
      <c r="N139" s="11">
        <v>2023</v>
      </c>
    </row>
    <row r="140" spans="1:14" ht="15.75" customHeight="1" x14ac:dyDescent="0.25">
      <c r="A140" s="8" t="s">
        <v>412</v>
      </c>
      <c r="B140" s="8" t="s">
        <v>1191</v>
      </c>
      <c r="C140" s="8" t="s">
        <v>1263</v>
      </c>
      <c r="D140" s="8" t="s">
        <v>1182</v>
      </c>
      <c r="E140" s="8" t="s">
        <v>440</v>
      </c>
      <c r="F140" s="9">
        <v>8</v>
      </c>
      <c r="G140" s="9">
        <v>16</v>
      </c>
      <c r="H140" s="9">
        <v>3.7</v>
      </c>
      <c r="I140" s="9">
        <v>4.5999999999999996</v>
      </c>
      <c r="J140" s="9">
        <v>16</v>
      </c>
      <c r="K140" s="9">
        <v>65</v>
      </c>
      <c r="L140" s="8" t="s">
        <v>84</v>
      </c>
      <c r="M140" s="8" t="s">
        <v>284</v>
      </c>
      <c r="N140" s="9">
        <v>2024</v>
      </c>
    </row>
    <row r="141" spans="1:14" ht="15.75" customHeight="1" x14ac:dyDescent="0.25">
      <c r="A141" s="10" t="s">
        <v>412</v>
      </c>
      <c r="B141" s="10" t="s">
        <v>1179</v>
      </c>
      <c r="C141" s="10" t="s">
        <v>1270</v>
      </c>
      <c r="D141" s="10" t="s">
        <v>1182</v>
      </c>
      <c r="E141" s="10" t="s">
        <v>440</v>
      </c>
      <c r="F141" s="11">
        <v>8</v>
      </c>
      <c r="G141" s="11">
        <v>16</v>
      </c>
      <c r="H141" s="11">
        <v>3.8</v>
      </c>
      <c r="I141" s="11">
        <v>4.5999999999999996</v>
      </c>
      <c r="J141" s="11">
        <v>16</v>
      </c>
      <c r="K141" s="11">
        <v>65</v>
      </c>
      <c r="L141" s="10" t="s">
        <v>921</v>
      </c>
      <c r="M141" s="10" t="s">
        <v>284</v>
      </c>
      <c r="N141" s="11">
        <v>2021</v>
      </c>
    </row>
    <row r="142" spans="1:14" ht="15.75" customHeight="1" x14ac:dyDescent="0.25">
      <c r="A142" s="8" t="s">
        <v>412</v>
      </c>
      <c r="B142" s="8" t="s">
        <v>1191</v>
      </c>
      <c r="C142" s="8" t="s">
        <v>1277</v>
      </c>
      <c r="D142" s="8" t="s">
        <v>1218</v>
      </c>
      <c r="E142" s="8" t="s">
        <v>440</v>
      </c>
      <c r="F142" s="9">
        <v>8</v>
      </c>
      <c r="G142" s="9">
        <v>16</v>
      </c>
      <c r="H142" s="9">
        <v>3.4</v>
      </c>
      <c r="I142" s="9">
        <v>4.5999999999999996</v>
      </c>
      <c r="J142" s="9">
        <v>32</v>
      </c>
      <c r="K142" s="9">
        <v>65</v>
      </c>
      <c r="L142" s="8" t="s">
        <v>84</v>
      </c>
      <c r="M142" s="8" t="s">
        <v>284</v>
      </c>
      <c r="N142" s="9">
        <v>2022</v>
      </c>
    </row>
    <row r="143" spans="1:14" ht="15.75" customHeight="1" x14ac:dyDescent="0.25">
      <c r="A143" s="10" t="s">
        <v>412</v>
      </c>
      <c r="B143" s="10" t="s">
        <v>1256</v>
      </c>
      <c r="C143" s="10" t="s">
        <v>1285</v>
      </c>
      <c r="D143" s="10" t="s">
        <v>1218</v>
      </c>
      <c r="E143" s="10" t="s">
        <v>440</v>
      </c>
      <c r="F143" s="11">
        <v>8</v>
      </c>
      <c r="G143" s="11">
        <v>16</v>
      </c>
      <c r="H143" s="11">
        <v>3</v>
      </c>
      <c r="I143" s="11">
        <v>4.0999999999999996</v>
      </c>
      <c r="J143" s="11">
        <v>96</v>
      </c>
      <c r="K143" s="11">
        <v>105</v>
      </c>
      <c r="L143" s="10" t="s">
        <v>84</v>
      </c>
      <c r="M143" s="10" t="s">
        <v>284</v>
      </c>
      <c r="N143" s="11">
        <v>2024</v>
      </c>
    </row>
    <row r="144" spans="1:14" ht="15.75" customHeight="1" x14ac:dyDescent="0.25">
      <c r="A144" s="8" t="s">
        <v>412</v>
      </c>
      <c r="B144" s="8" t="s">
        <v>1191</v>
      </c>
      <c r="C144" s="8" t="s">
        <v>1289</v>
      </c>
      <c r="D144" s="8" t="s">
        <v>1218</v>
      </c>
      <c r="E144" s="8" t="s">
        <v>440</v>
      </c>
      <c r="F144" s="9">
        <v>8</v>
      </c>
      <c r="G144" s="9">
        <v>16</v>
      </c>
      <c r="H144" s="9">
        <v>3.8</v>
      </c>
      <c r="I144" s="9">
        <v>4.7</v>
      </c>
      <c r="J144" s="9">
        <v>32</v>
      </c>
      <c r="K144" s="9">
        <v>105</v>
      </c>
      <c r="L144" s="8" t="s">
        <v>84</v>
      </c>
      <c r="M144" s="8" t="s">
        <v>284</v>
      </c>
      <c r="N144" s="9">
        <v>2020</v>
      </c>
    </row>
    <row r="145" spans="1:14" ht="15.75" customHeight="1" x14ac:dyDescent="0.25">
      <c r="A145" s="10" t="s">
        <v>412</v>
      </c>
      <c r="B145" s="10" t="s">
        <v>1256</v>
      </c>
      <c r="C145" s="10" t="s">
        <v>1293</v>
      </c>
      <c r="D145" s="10" t="s">
        <v>1218</v>
      </c>
      <c r="E145" s="10" t="s">
        <v>440</v>
      </c>
      <c r="F145" s="11">
        <v>8</v>
      </c>
      <c r="G145" s="11">
        <v>16</v>
      </c>
      <c r="H145" s="11">
        <v>3.4</v>
      </c>
      <c r="I145" s="11">
        <v>4.5</v>
      </c>
      <c r="J145" s="11">
        <v>96</v>
      </c>
      <c r="K145" s="11">
        <v>105</v>
      </c>
      <c r="L145" s="10" t="s">
        <v>84</v>
      </c>
      <c r="M145" s="10" t="s">
        <v>284</v>
      </c>
      <c r="N145" s="11">
        <v>2022</v>
      </c>
    </row>
    <row r="146" spans="1:14" ht="15.75" customHeight="1" x14ac:dyDescent="0.25">
      <c r="A146" s="8" t="s">
        <v>412</v>
      </c>
      <c r="B146" s="8" t="s">
        <v>1191</v>
      </c>
      <c r="C146" s="8" t="s">
        <v>1296</v>
      </c>
      <c r="D146" s="8" t="s">
        <v>1218</v>
      </c>
      <c r="E146" s="8" t="s">
        <v>440</v>
      </c>
      <c r="F146" s="9">
        <v>12</v>
      </c>
      <c r="G146" s="9">
        <v>24</v>
      </c>
      <c r="H146" s="9">
        <v>3.7</v>
      </c>
      <c r="I146" s="9">
        <v>4.8</v>
      </c>
      <c r="J146" s="9">
        <v>64</v>
      </c>
      <c r="K146" s="9">
        <v>105</v>
      </c>
      <c r="L146" s="8" t="s">
        <v>84</v>
      </c>
      <c r="M146" s="8" t="s">
        <v>284</v>
      </c>
      <c r="N146" s="9">
        <v>2020</v>
      </c>
    </row>
    <row r="147" spans="1:14" ht="15.75" customHeight="1" x14ac:dyDescent="0.25">
      <c r="A147" s="10" t="s">
        <v>412</v>
      </c>
      <c r="B147" s="10" t="s">
        <v>1191</v>
      </c>
      <c r="C147" s="10" t="s">
        <v>1299</v>
      </c>
      <c r="D147" s="10" t="s">
        <v>1218</v>
      </c>
      <c r="E147" s="10" t="s">
        <v>440</v>
      </c>
      <c r="F147" s="11">
        <v>16</v>
      </c>
      <c r="G147" s="11">
        <v>32</v>
      </c>
      <c r="H147" s="11">
        <v>3.4</v>
      </c>
      <c r="I147" s="11">
        <v>4.9000000000000004</v>
      </c>
      <c r="J147" s="11">
        <v>64</v>
      </c>
      <c r="K147" s="11">
        <v>105</v>
      </c>
      <c r="L147" s="10" t="s">
        <v>84</v>
      </c>
      <c r="M147" s="10" t="s">
        <v>284</v>
      </c>
      <c r="N147" s="11">
        <v>2020</v>
      </c>
    </row>
    <row r="148" spans="1:14" ht="15.75" customHeight="1" x14ac:dyDescent="0.25">
      <c r="A148" s="8" t="s">
        <v>412</v>
      </c>
      <c r="B148" s="8" t="s">
        <v>1302</v>
      </c>
      <c r="C148" s="8" t="s">
        <v>1303</v>
      </c>
      <c r="D148" s="8" t="s">
        <v>1304</v>
      </c>
      <c r="E148" s="8" t="s">
        <v>525</v>
      </c>
      <c r="F148" s="9">
        <v>6</v>
      </c>
      <c r="G148" s="9">
        <v>12</v>
      </c>
      <c r="H148" s="9">
        <v>3.7</v>
      </c>
      <c r="I148" s="9">
        <v>5</v>
      </c>
      <c r="J148" s="9">
        <v>32</v>
      </c>
      <c r="K148" s="9">
        <v>65</v>
      </c>
      <c r="L148" s="8" t="s">
        <v>84</v>
      </c>
      <c r="M148" s="8" t="s">
        <v>1306</v>
      </c>
      <c r="N148" s="9">
        <v>2023</v>
      </c>
    </row>
    <row r="149" spans="1:14" ht="15.75" customHeight="1" x14ac:dyDescent="0.25">
      <c r="A149" s="10" t="s">
        <v>412</v>
      </c>
      <c r="B149" s="10" t="s">
        <v>1302</v>
      </c>
      <c r="C149" s="10" t="s">
        <v>1308</v>
      </c>
      <c r="D149" s="10" t="s">
        <v>1304</v>
      </c>
      <c r="E149" s="10" t="s">
        <v>525</v>
      </c>
      <c r="F149" s="11">
        <v>6</v>
      </c>
      <c r="G149" s="11">
        <v>12</v>
      </c>
      <c r="H149" s="11">
        <v>3.8</v>
      </c>
      <c r="I149" s="11">
        <v>5.0999999999999996</v>
      </c>
      <c r="J149" s="11">
        <v>32</v>
      </c>
      <c r="K149" s="11">
        <v>65</v>
      </c>
      <c r="L149" s="10" t="s">
        <v>1310</v>
      </c>
      <c r="M149" s="10" t="s">
        <v>1306</v>
      </c>
      <c r="N149" s="11">
        <v>2023</v>
      </c>
    </row>
    <row r="150" spans="1:14" ht="15.75" customHeight="1" x14ac:dyDescent="0.25">
      <c r="A150" s="8" t="s">
        <v>412</v>
      </c>
      <c r="B150" s="8" t="s">
        <v>1302</v>
      </c>
      <c r="C150" s="8" t="s">
        <v>1311</v>
      </c>
      <c r="D150" s="8" t="s">
        <v>1304</v>
      </c>
      <c r="E150" s="8" t="s">
        <v>525</v>
      </c>
      <c r="F150" s="9">
        <v>6</v>
      </c>
      <c r="G150" s="9">
        <v>12</v>
      </c>
      <c r="H150" s="9">
        <v>4.7</v>
      </c>
      <c r="I150" s="9">
        <v>5.3</v>
      </c>
      <c r="J150" s="9">
        <v>32</v>
      </c>
      <c r="K150" s="9">
        <v>105</v>
      </c>
      <c r="L150" s="8" t="s">
        <v>1310</v>
      </c>
      <c r="M150" s="8" t="s">
        <v>1306</v>
      </c>
      <c r="N150" s="9">
        <v>2022</v>
      </c>
    </row>
    <row r="151" spans="1:14" ht="15.75" customHeight="1" x14ac:dyDescent="0.25">
      <c r="A151" s="10" t="s">
        <v>412</v>
      </c>
      <c r="B151" s="10" t="s">
        <v>1302</v>
      </c>
      <c r="C151" s="10" t="s">
        <v>1316</v>
      </c>
      <c r="D151" s="10" t="s">
        <v>1304</v>
      </c>
      <c r="E151" s="10" t="s">
        <v>525</v>
      </c>
      <c r="F151" s="11">
        <v>8</v>
      </c>
      <c r="G151" s="11">
        <v>16</v>
      </c>
      <c r="H151" s="11">
        <v>3.8</v>
      </c>
      <c r="I151" s="11">
        <v>5.3</v>
      </c>
      <c r="J151" s="11">
        <v>32</v>
      </c>
      <c r="K151" s="11">
        <v>65</v>
      </c>
      <c r="L151" s="10" t="s">
        <v>1310</v>
      </c>
      <c r="M151" s="10" t="s">
        <v>1306</v>
      </c>
      <c r="N151" s="11">
        <v>2023</v>
      </c>
    </row>
    <row r="152" spans="1:14" ht="15.75" customHeight="1" x14ac:dyDescent="0.25">
      <c r="A152" s="8" t="s">
        <v>412</v>
      </c>
      <c r="B152" s="8" t="s">
        <v>1302</v>
      </c>
      <c r="C152" s="8" t="s">
        <v>1318</v>
      </c>
      <c r="D152" s="8" t="s">
        <v>1304</v>
      </c>
      <c r="E152" s="8" t="s">
        <v>525</v>
      </c>
      <c r="F152" s="9">
        <v>8</v>
      </c>
      <c r="G152" s="9">
        <v>16</v>
      </c>
      <c r="H152" s="9">
        <v>4.5</v>
      </c>
      <c r="I152" s="9">
        <v>5.4</v>
      </c>
      <c r="J152" s="9">
        <v>32</v>
      </c>
      <c r="K152" s="9">
        <v>105</v>
      </c>
      <c r="L152" s="8" t="s">
        <v>1310</v>
      </c>
      <c r="M152" s="8" t="s">
        <v>1306</v>
      </c>
      <c r="N152" s="9">
        <v>2022</v>
      </c>
    </row>
    <row r="153" spans="1:14" ht="15.75" customHeight="1" x14ac:dyDescent="0.25">
      <c r="A153" s="10" t="s">
        <v>412</v>
      </c>
      <c r="B153" s="10" t="s">
        <v>1323</v>
      </c>
      <c r="C153" s="10" t="s">
        <v>1324</v>
      </c>
      <c r="D153" s="10" t="s">
        <v>1304</v>
      </c>
      <c r="E153" s="10" t="s">
        <v>525</v>
      </c>
      <c r="F153" s="11">
        <v>8</v>
      </c>
      <c r="G153" s="11">
        <v>16</v>
      </c>
      <c r="H153" s="11">
        <v>4.2</v>
      </c>
      <c r="I153" s="11">
        <v>5</v>
      </c>
      <c r="J153" s="11">
        <v>96</v>
      </c>
      <c r="K153" s="11">
        <v>120</v>
      </c>
      <c r="L153" s="10" t="s">
        <v>1310</v>
      </c>
      <c r="M153" s="10" t="s">
        <v>1306</v>
      </c>
      <c r="N153" s="11">
        <v>2023</v>
      </c>
    </row>
    <row r="154" spans="1:14" ht="15.75" customHeight="1" x14ac:dyDescent="0.25">
      <c r="A154" s="8" t="s">
        <v>412</v>
      </c>
      <c r="B154" s="8" t="s">
        <v>1302</v>
      </c>
      <c r="C154" s="8" t="s">
        <v>1326</v>
      </c>
      <c r="D154" s="8" t="s">
        <v>1304</v>
      </c>
      <c r="E154" s="8" t="s">
        <v>525</v>
      </c>
      <c r="F154" s="9">
        <v>12</v>
      </c>
      <c r="G154" s="9">
        <v>24</v>
      </c>
      <c r="H154" s="9">
        <v>3.7</v>
      </c>
      <c r="I154" s="9">
        <v>5.4</v>
      </c>
      <c r="J154" s="9">
        <v>64</v>
      </c>
      <c r="K154" s="9">
        <v>65</v>
      </c>
      <c r="L154" s="8" t="s">
        <v>1310</v>
      </c>
      <c r="M154" s="8" t="s">
        <v>1306</v>
      </c>
      <c r="N154" s="9">
        <v>2023</v>
      </c>
    </row>
    <row r="155" spans="1:14" ht="15.75" customHeight="1" x14ac:dyDescent="0.25">
      <c r="A155" s="10" t="s">
        <v>412</v>
      </c>
      <c r="B155" s="10" t="s">
        <v>1302</v>
      </c>
      <c r="C155" s="10" t="s">
        <v>1329</v>
      </c>
      <c r="D155" s="10" t="s">
        <v>1304</v>
      </c>
      <c r="E155" s="10" t="s">
        <v>525</v>
      </c>
      <c r="F155" s="11">
        <v>12</v>
      </c>
      <c r="G155" s="11">
        <v>24</v>
      </c>
      <c r="H155" s="11">
        <v>4.7</v>
      </c>
      <c r="I155" s="11">
        <v>5.6</v>
      </c>
      <c r="J155" s="11">
        <v>64</v>
      </c>
      <c r="K155" s="11">
        <v>170</v>
      </c>
      <c r="L155" s="10" t="s">
        <v>1310</v>
      </c>
      <c r="M155" s="10" t="s">
        <v>1306</v>
      </c>
      <c r="N155" s="11">
        <v>2022</v>
      </c>
    </row>
    <row r="156" spans="1:14" ht="15.75" customHeight="1" x14ac:dyDescent="0.25">
      <c r="A156" s="8" t="s">
        <v>412</v>
      </c>
      <c r="B156" s="8" t="s">
        <v>1323</v>
      </c>
      <c r="C156" s="8" t="s">
        <v>1331</v>
      </c>
      <c r="D156" s="8" t="s">
        <v>1304</v>
      </c>
      <c r="E156" s="8" t="s">
        <v>525</v>
      </c>
      <c r="F156" s="9">
        <v>12</v>
      </c>
      <c r="G156" s="9">
        <v>24</v>
      </c>
      <c r="H156" s="9">
        <v>4.4000000000000004</v>
      </c>
      <c r="I156" s="9">
        <v>5.6</v>
      </c>
      <c r="J156" s="9">
        <v>128</v>
      </c>
      <c r="K156" s="9">
        <v>120</v>
      </c>
      <c r="L156" s="8" t="s">
        <v>1310</v>
      </c>
      <c r="M156" s="8" t="s">
        <v>1306</v>
      </c>
      <c r="N156" s="9">
        <v>2023</v>
      </c>
    </row>
    <row r="157" spans="1:14" ht="15.75" customHeight="1" x14ac:dyDescent="0.25">
      <c r="A157" s="10" t="s">
        <v>412</v>
      </c>
      <c r="B157" s="10" t="s">
        <v>1302</v>
      </c>
      <c r="C157" s="10" t="s">
        <v>1335</v>
      </c>
      <c r="D157" s="10" t="s">
        <v>1304</v>
      </c>
      <c r="E157" s="10" t="s">
        <v>525</v>
      </c>
      <c r="F157" s="11">
        <v>16</v>
      </c>
      <c r="G157" s="11">
        <v>32</v>
      </c>
      <c r="H157" s="11">
        <v>4.5</v>
      </c>
      <c r="I157" s="11">
        <v>5.7</v>
      </c>
      <c r="J157" s="11">
        <v>64</v>
      </c>
      <c r="K157" s="11">
        <v>170</v>
      </c>
      <c r="L157" s="10" t="s">
        <v>1310</v>
      </c>
      <c r="M157" s="10" t="s">
        <v>1306</v>
      </c>
      <c r="N157" s="11">
        <v>2022</v>
      </c>
    </row>
    <row r="158" spans="1:14" ht="15.75" customHeight="1" x14ac:dyDescent="0.25">
      <c r="A158" s="8" t="s">
        <v>412</v>
      </c>
      <c r="B158" s="8" t="s">
        <v>1323</v>
      </c>
      <c r="C158" s="8" t="s">
        <v>1337</v>
      </c>
      <c r="D158" s="8" t="s">
        <v>1304</v>
      </c>
      <c r="E158" s="8" t="s">
        <v>525</v>
      </c>
      <c r="F158" s="9">
        <v>16</v>
      </c>
      <c r="G158" s="9">
        <v>32</v>
      </c>
      <c r="H158" s="9">
        <v>4.2</v>
      </c>
      <c r="I158" s="9">
        <v>5.7</v>
      </c>
      <c r="J158" s="9">
        <v>128</v>
      </c>
      <c r="K158" s="9">
        <v>120</v>
      </c>
      <c r="L158" s="8" t="s">
        <v>1310</v>
      </c>
      <c r="M158" s="8" t="s">
        <v>1306</v>
      </c>
      <c r="N158" s="9">
        <v>2023</v>
      </c>
    </row>
    <row r="159" spans="1:14" ht="15.75" customHeight="1" x14ac:dyDescent="0.25">
      <c r="A159" s="10" t="s">
        <v>412</v>
      </c>
      <c r="B159" s="10" t="s">
        <v>1339</v>
      </c>
      <c r="C159" s="10" t="s">
        <v>1340</v>
      </c>
      <c r="D159" s="10" t="s">
        <v>1341</v>
      </c>
      <c r="E159" s="10" t="s">
        <v>525</v>
      </c>
      <c r="F159" s="11">
        <v>4</v>
      </c>
      <c r="G159" s="11">
        <v>8</v>
      </c>
      <c r="H159" s="11">
        <v>3.4</v>
      </c>
      <c r="I159" s="11">
        <v>4.9000000000000004</v>
      </c>
      <c r="J159" s="11">
        <v>8</v>
      </c>
      <c r="K159" s="11">
        <v>65</v>
      </c>
      <c r="L159" s="10" t="s">
        <v>1343</v>
      </c>
      <c r="M159" s="10" t="s">
        <v>1344</v>
      </c>
      <c r="N159" s="11">
        <v>2024</v>
      </c>
    </row>
    <row r="160" spans="1:14" ht="15.75" customHeight="1" x14ac:dyDescent="0.25">
      <c r="A160" s="8" t="s">
        <v>412</v>
      </c>
      <c r="B160" s="8" t="s">
        <v>1339</v>
      </c>
      <c r="C160" s="8" t="s">
        <v>1346</v>
      </c>
      <c r="D160" s="8" t="s">
        <v>1347</v>
      </c>
      <c r="E160" s="8" t="s">
        <v>525</v>
      </c>
      <c r="F160" s="9">
        <v>6</v>
      </c>
      <c r="G160" s="9">
        <v>12</v>
      </c>
      <c r="H160" s="9">
        <v>4.2</v>
      </c>
      <c r="I160" s="9">
        <v>4.7</v>
      </c>
      <c r="J160" s="9">
        <v>16</v>
      </c>
      <c r="K160" s="9">
        <v>65</v>
      </c>
      <c r="L160" s="8" t="s">
        <v>84</v>
      </c>
      <c r="M160" s="8" t="s">
        <v>1344</v>
      </c>
      <c r="N160" s="9">
        <v>2024</v>
      </c>
    </row>
    <row r="161" spans="1:14" ht="15.75" customHeight="1" x14ac:dyDescent="0.25">
      <c r="A161" s="10" t="s">
        <v>412</v>
      </c>
      <c r="B161" s="10" t="s">
        <v>1339</v>
      </c>
      <c r="C161" s="10" t="s">
        <v>1349</v>
      </c>
      <c r="D161" s="10" t="s">
        <v>1341</v>
      </c>
      <c r="E161" s="10" t="s">
        <v>525</v>
      </c>
      <c r="F161" s="11">
        <v>6</v>
      </c>
      <c r="G161" s="11">
        <v>12</v>
      </c>
      <c r="H161" s="11">
        <v>3.5</v>
      </c>
      <c r="I161" s="11">
        <v>5</v>
      </c>
      <c r="J161" s="11">
        <v>16</v>
      </c>
      <c r="K161" s="11">
        <v>65</v>
      </c>
      <c r="L161" s="10" t="s">
        <v>1343</v>
      </c>
      <c r="M161" s="10" t="s">
        <v>1344</v>
      </c>
      <c r="N161" s="11">
        <v>2024</v>
      </c>
    </row>
    <row r="162" spans="1:14" ht="15.75" customHeight="1" x14ac:dyDescent="0.25">
      <c r="A162" s="8" t="s">
        <v>412</v>
      </c>
      <c r="B162" s="8" t="s">
        <v>1339</v>
      </c>
      <c r="C162" s="8" t="s">
        <v>1351</v>
      </c>
      <c r="D162" s="8" t="s">
        <v>1347</v>
      </c>
      <c r="E162" s="8" t="s">
        <v>525</v>
      </c>
      <c r="F162" s="9">
        <v>6</v>
      </c>
      <c r="G162" s="9">
        <v>12</v>
      </c>
      <c r="H162" s="9">
        <v>4.3</v>
      </c>
      <c r="I162" s="9">
        <v>5</v>
      </c>
      <c r="J162" s="9">
        <v>16</v>
      </c>
      <c r="K162" s="9">
        <v>65</v>
      </c>
      <c r="L162" s="8" t="s">
        <v>1353</v>
      </c>
      <c r="M162" s="8" t="s">
        <v>1344</v>
      </c>
      <c r="N162" s="9">
        <v>2024</v>
      </c>
    </row>
    <row r="163" spans="1:14" ht="15.75" customHeight="1" x14ac:dyDescent="0.25">
      <c r="A163" s="10" t="s">
        <v>412</v>
      </c>
      <c r="B163" s="10" t="s">
        <v>1339</v>
      </c>
      <c r="C163" s="10" t="s">
        <v>1355</v>
      </c>
      <c r="D163" s="10" t="s">
        <v>1347</v>
      </c>
      <c r="E163" s="10" t="s">
        <v>525</v>
      </c>
      <c r="F163" s="11">
        <v>8</v>
      </c>
      <c r="G163" s="11">
        <v>16</v>
      </c>
      <c r="H163" s="11">
        <v>4.0999999999999996</v>
      </c>
      <c r="I163" s="11">
        <v>5</v>
      </c>
      <c r="J163" s="11">
        <v>16</v>
      </c>
      <c r="K163" s="11">
        <v>65</v>
      </c>
      <c r="L163" s="10" t="s">
        <v>84</v>
      </c>
      <c r="M163" s="10" t="s">
        <v>1344</v>
      </c>
      <c r="N163" s="11">
        <v>2024</v>
      </c>
    </row>
    <row r="164" spans="1:14" ht="15.75" customHeight="1" x14ac:dyDescent="0.25">
      <c r="A164" s="8" t="s">
        <v>412</v>
      </c>
      <c r="B164" s="8" t="s">
        <v>1339</v>
      </c>
      <c r="C164" s="8" t="s">
        <v>1357</v>
      </c>
      <c r="D164" s="8" t="s">
        <v>1347</v>
      </c>
      <c r="E164" s="8" t="s">
        <v>525</v>
      </c>
      <c r="F164" s="9">
        <v>8</v>
      </c>
      <c r="G164" s="9">
        <v>16</v>
      </c>
      <c r="H164" s="9">
        <v>4.2</v>
      </c>
      <c r="I164" s="9">
        <v>5.0999999999999996</v>
      </c>
      <c r="J164" s="9">
        <v>16</v>
      </c>
      <c r="K164" s="9">
        <v>65</v>
      </c>
      <c r="L164" s="8" t="s">
        <v>1361</v>
      </c>
      <c r="M164" s="8" t="s">
        <v>1344</v>
      </c>
      <c r="N164" s="9">
        <v>2024</v>
      </c>
    </row>
    <row r="165" spans="1:14" ht="15.75" customHeight="1" x14ac:dyDescent="0.25">
      <c r="A165" s="10" t="s">
        <v>412</v>
      </c>
      <c r="B165" s="10" t="s">
        <v>1363</v>
      </c>
      <c r="C165" s="10" t="s">
        <v>1364</v>
      </c>
      <c r="D165" s="10" t="s">
        <v>1365</v>
      </c>
      <c r="E165" s="10" t="s">
        <v>525</v>
      </c>
      <c r="F165" s="11">
        <v>6</v>
      </c>
      <c r="G165" s="11">
        <v>12</v>
      </c>
      <c r="H165" s="11">
        <v>3.9</v>
      </c>
      <c r="I165" s="11">
        <v>5.4</v>
      </c>
      <c r="J165" s="11">
        <v>32</v>
      </c>
      <c r="K165" s="11">
        <v>65</v>
      </c>
      <c r="L165" s="10" t="s">
        <v>1310</v>
      </c>
      <c r="M165" s="10" t="s">
        <v>1344</v>
      </c>
      <c r="N165" s="11">
        <v>2024</v>
      </c>
    </row>
    <row r="166" spans="1:14" ht="15.75" customHeight="1" x14ac:dyDescent="0.25">
      <c r="A166" s="8" t="s">
        <v>412</v>
      </c>
      <c r="B166" s="8" t="s">
        <v>1363</v>
      </c>
      <c r="C166" s="8" t="s">
        <v>1369</v>
      </c>
      <c r="D166" s="8" t="s">
        <v>1365</v>
      </c>
      <c r="E166" s="8" t="s">
        <v>525</v>
      </c>
      <c r="F166" s="9">
        <v>8</v>
      </c>
      <c r="G166" s="9">
        <v>16</v>
      </c>
      <c r="H166" s="9">
        <v>3.8</v>
      </c>
      <c r="I166" s="9">
        <v>5.5</v>
      </c>
      <c r="J166" s="9">
        <v>32</v>
      </c>
      <c r="K166" s="9">
        <v>65</v>
      </c>
      <c r="L166" s="8" t="s">
        <v>1310</v>
      </c>
      <c r="M166" s="8" t="s">
        <v>1344</v>
      </c>
      <c r="N166" s="9">
        <v>2024</v>
      </c>
    </row>
    <row r="167" spans="1:14" ht="15.75" customHeight="1" x14ac:dyDescent="0.25">
      <c r="A167" s="10" t="s">
        <v>412</v>
      </c>
      <c r="B167" s="10" t="s">
        <v>1376</v>
      </c>
      <c r="C167" s="10" t="s">
        <v>1377</v>
      </c>
      <c r="D167" s="10" t="s">
        <v>1365</v>
      </c>
      <c r="E167" s="10" t="s">
        <v>525</v>
      </c>
      <c r="F167" s="11">
        <v>8</v>
      </c>
      <c r="G167" s="11">
        <v>16</v>
      </c>
      <c r="H167" s="11">
        <v>4.7</v>
      </c>
      <c r="I167" s="11">
        <v>5.2</v>
      </c>
      <c r="J167" s="11">
        <v>96</v>
      </c>
      <c r="K167" s="11">
        <v>120</v>
      </c>
      <c r="L167" s="10" t="s">
        <v>1310</v>
      </c>
      <c r="M167" s="10" t="s">
        <v>1344</v>
      </c>
      <c r="N167" s="11">
        <v>2024</v>
      </c>
    </row>
    <row r="168" spans="1:14" ht="15.75" customHeight="1" x14ac:dyDescent="0.25">
      <c r="A168" s="8" t="s">
        <v>412</v>
      </c>
      <c r="B168" s="8" t="s">
        <v>1363</v>
      </c>
      <c r="C168" s="8" t="s">
        <v>1382</v>
      </c>
      <c r="D168" s="8" t="s">
        <v>1365</v>
      </c>
      <c r="E168" s="8" t="s">
        <v>525</v>
      </c>
      <c r="F168" s="9">
        <v>12</v>
      </c>
      <c r="G168" s="9">
        <v>24</v>
      </c>
      <c r="H168" s="9">
        <v>4.4000000000000004</v>
      </c>
      <c r="I168" s="9">
        <v>5.6</v>
      </c>
      <c r="J168" s="9">
        <v>64</v>
      </c>
      <c r="K168" s="9">
        <v>120</v>
      </c>
      <c r="L168" s="8" t="s">
        <v>1310</v>
      </c>
      <c r="M168" s="8" t="s">
        <v>1344</v>
      </c>
      <c r="N168" s="9">
        <v>2024</v>
      </c>
    </row>
    <row r="169" spans="1:14" ht="15.75" customHeight="1" x14ac:dyDescent="0.25">
      <c r="A169" s="10" t="s">
        <v>412</v>
      </c>
      <c r="B169" s="10" t="s">
        <v>1376</v>
      </c>
      <c r="C169" s="10" t="s">
        <v>1385</v>
      </c>
      <c r="D169" s="10" t="s">
        <v>1365</v>
      </c>
      <c r="E169" s="10" t="s">
        <v>525</v>
      </c>
      <c r="F169" s="11">
        <v>12</v>
      </c>
      <c r="G169" s="11">
        <v>24</v>
      </c>
      <c r="H169" s="11">
        <v>4.4000000000000004</v>
      </c>
      <c r="I169" s="11">
        <v>5.5</v>
      </c>
      <c r="J169" s="11">
        <v>128</v>
      </c>
      <c r="K169" s="11">
        <v>120</v>
      </c>
      <c r="L169" s="10" t="s">
        <v>1310</v>
      </c>
      <c r="M169" s="10" t="s">
        <v>1344</v>
      </c>
      <c r="N169" s="11">
        <v>2025</v>
      </c>
    </row>
    <row r="170" spans="1:14" ht="15.75" customHeight="1" x14ac:dyDescent="0.25">
      <c r="A170" s="8" t="s">
        <v>412</v>
      </c>
      <c r="B170" s="8" t="s">
        <v>1363</v>
      </c>
      <c r="C170" s="8" t="s">
        <v>1388</v>
      </c>
      <c r="D170" s="8" t="s">
        <v>1365</v>
      </c>
      <c r="E170" s="8" t="s">
        <v>525</v>
      </c>
      <c r="F170" s="9">
        <v>16</v>
      </c>
      <c r="G170" s="9">
        <v>32</v>
      </c>
      <c r="H170" s="9">
        <v>4.3</v>
      </c>
      <c r="I170" s="9">
        <v>5.7</v>
      </c>
      <c r="J170" s="9">
        <v>64</v>
      </c>
      <c r="K170" s="9">
        <v>170</v>
      </c>
      <c r="L170" s="8" t="s">
        <v>1310</v>
      </c>
      <c r="M170" s="8" t="s">
        <v>1344</v>
      </c>
      <c r="N170" s="9">
        <v>2024</v>
      </c>
    </row>
    <row r="171" spans="1:14" ht="15.75" customHeight="1" x14ac:dyDescent="0.25">
      <c r="A171" s="10" t="s">
        <v>412</v>
      </c>
      <c r="B171" s="10" t="s">
        <v>1376</v>
      </c>
      <c r="C171" s="10" t="s">
        <v>1390</v>
      </c>
      <c r="D171" s="10" t="s">
        <v>1365</v>
      </c>
      <c r="E171" s="10" t="s">
        <v>525</v>
      </c>
      <c r="F171" s="11">
        <v>16</v>
      </c>
      <c r="G171" s="11">
        <v>32</v>
      </c>
      <c r="H171" s="11">
        <v>4.3</v>
      </c>
      <c r="I171" s="11">
        <v>5.7</v>
      </c>
      <c r="J171" s="11">
        <v>128</v>
      </c>
      <c r="K171" s="11">
        <v>170</v>
      </c>
      <c r="L171" s="10" t="s">
        <v>1310</v>
      </c>
      <c r="M171" s="10" t="s">
        <v>1344</v>
      </c>
      <c r="N171" s="11">
        <v>2025</v>
      </c>
    </row>
    <row r="172" spans="1:14" ht="15.75" customHeight="1" x14ac:dyDescent="0.25"/>
    <row r="173" spans="1:14" ht="15.75" customHeight="1" x14ac:dyDescent="0.25"/>
    <row r="174" spans="1:14" ht="15.75" customHeight="1" x14ac:dyDescent="0.25"/>
    <row r="175" spans="1:14" ht="15.75" customHeight="1" x14ac:dyDescent="0.25"/>
    <row r="176" spans="1:14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171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4" customWidth="1"/>
    <col min="2" max="2" width="17" customWidth="1"/>
    <col min="3" max="3" width="20" customWidth="1"/>
    <col min="4" max="4" width="23" customWidth="1"/>
    <col min="5" max="5" width="14" customWidth="1"/>
    <col min="6" max="6" width="17" customWidth="1"/>
    <col min="7" max="7" width="13" customWidth="1"/>
    <col min="8" max="8" width="10" customWidth="1"/>
    <col min="9" max="9" width="22" customWidth="1"/>
    <col min="10" max="10" width="23" customWidth="1"/>
    <col min="11" max="11" width="46" customWidth="1"/>
    <col min="12" max="12" width="14" customWidth="1"/>
    <col min="13" max="26" width="8.7109375" customWidth="1"/>
  </cols>
  <sheetData>
    <row r="1" spans="1:12" ht="31.5" customHeight="1" x14ac:dyDescent="0.25">
      <c r="A1" s="2" t="s">
        <v>28</v>
      </c>
      <c r="B1" s="2" t="s">
        <v>36</v>
      </c>
      <c r="C1" s="2" t="s">
        <v>4</v>
      </c>
      <c r="D1" s="2" t="s">
        <v>42</v>
      </c>
      <c r="E1" s="2" t="s">
        <v>46</v>
      </c>
      <c r="F1" s="2" t="s">
        <v>48</v>
      </c>
      <c r="G1" s="2" t="s">
        <v>51</v>
      </c>
      <c r="H1" s="2" t="s">
        <v>54</v>
      </c>
      <c r="I1" s="2" t="s">
        <v>58</v>
      </c>
      <c r="J1" s="2" t="s">
        <v>62</v>
      </c>
      <c r="K1" s="2" t="s">
        <v>65</v>
      </c>
      <c r="L1" s="2" t="s">
        <v>16</v>
      </c>
    </row>
    <row r="2" spans="1:12" x14ac:dyDescent="0.25">
      <c r="A2" s="8" t="s">
        <v>71</v>
      </c>
      <c r="B2" s="8" t="s">
        <v>76</v>
      </c>
      <c r="C2" s="8" t="s">
        <v>79</v>
      </c>
      <c r="D2" s="8" t="s">
        <v>82</v>
      </c>
      <c r="E2" s="8" t="s">
        <v>85</v>
      </c>
      <c r="F2" s="8" t="s">
        <v>88</v>
      </c>
      <c r="G2" s="8" t="s">
        <v>91</v>
      </c>
      <c r="H2" s="9">
        <v>75</v>
      </c>
      <c r="I2" s="9">
        <v>300</v>
      </c>
      <c r="J2" s="8" t="s">
        <v>97</v>
      </c>
      <c r="K2" s="8" t="s">
        <v>98</v>
      </c>
      <c r="L2" s="9">
        <v>2019</v>
      </c>
    </row>
    <row r="3" spans="1:12" x14ac:dyDescent="0.25">
      <c r="A3" s="10" t="s">
        <v>71</v>
      </c>
      <c r="B3" s="10" t="s">
        <v>76</v>
      </c>
      <c r="C3" s="10" t="s">
        <v>103</v>
      </c>
      <c r="D3" s="10" t="s">
        <v>105</v>
      </c>
      <c r="E3" s="10" t="s">
        <v>85</v>
      </c>
      <c r="F3" s="10" t="s">
        <v>106</v>
      </c>
      <c r="G3" s="10" t="s">
        <v>91</v>
      </c>
      <c r="H3" s="11">
        <v>100</v>
      </c>
      <c r="I3" s="11">
        <v>350</v>
      </c>
      <c r="J3" s="10" t="s">
        <v>108</v>
      </c>
      <c r="K3" s="10" t="s">
        <v>109</v>
      </c>
      <c r="L3" s="11">
        <v>2019</v>
      </c>
    </row>
    <row r="4" spans="1:12" x14ac:dyDescent="0.25">
      <c r="A4" s="8" t="s">
        <v>71</v>
      </c>
      <c r="B4" s="8" t="s">
        <v>76</v>
      </c>
      <c r="C4" s="8" t="s">
        <v>111</v>
      </c>
      <c r="D4" s="8" t="s">
        <v>105</v>
      </c>
      <c r="E4" s="8" t="s">
        <v>113</v>
      </c>
      <c r="F4" s="8" t="s">
        <v>114</v>
      </c>
      <c r="G4" s="8" t="s">
        <v>115</v>
      </c>
      <c r="H4" s="9">
        <v>120</v>
      </c>
      <c r="I4" s="9">
        <v>450</v>
      </c>
      <c r="J4" s="8" t="s">
        <v>118</v>
      </c>
      <c r="K4" s="8" t="s">
        <v>109</v>
      </c>
      <c r="L4" s="9">
        <v>2019</v>
      </c>
    </row>
    <row r="5" spans="1:12" x14ac:dyDescent="0.25">
      <c r="A5" s="10" t="s">
        <v>71</v>
      </c>
      <c r="B5" s="10" t="s">
        <v>76</v>
      </c>
      <c r="C5" s="10" t="s">
        <v>121</v>
      </c>
      <c r="D5" s="10" t="s">
        <v>105</v>
      </c>
      <c r="E5" s="10" t="s">
        <v>113</v>
      </c>
      <c r="F5" s="10" t="s">
        <v>106</v>
      </c>
      <c r="G5" s="10" t="s">
        <v>115</v>
      </c>
      <c r="H5" s="11">
        <v>125</v>
      </c>
      <c r="I5" s="11">
        <v>450</v>
      </c>
      <c r="J5" s="10" t="s">
        <v>118</v>
      </c>
      <c r="K5" s="10" t="s">
        <v>98</v>
      </c>
      <c r="L5" s="11">
        <v>2019</v>
      </c>
    </row>
    <row r="6" spans="1:12" x14ac:dyDescent="0.25">
      <c r="A6" s="8" t="s">
        <v>71</v>
      </c>
      <c r="B6" s="8" t="s">
        <v>76</v>
      </c>
      <c r="C6" s="8" t="s">
        <v>126</v>
      </c>
      <c r="D6" s="8" t="s">
        <v>105</v>
      </c>
      <c r="E6" s="8" t="s">
        <v>113</v>
      </c>
      <c r="F6" s="8" t="s">
        <v>106</v>
      </c>
      <c r="G6" s="8" t="s">
        <v>115</v>
      </c>
      <c r="H6" s="9">
        <v>120</v>
      </c>
      <c r="I6" s="9">
        <v>450</v>
      </c>
      <c r="J6" s="8" t="s">
        <v>118</v>
      </c>
      <c r="K6" s="8" t="s">
        <v>127</v>
      </c>
      <c r="L6" s="9">
        <v>2019</v>
      </c>
    </row>
    <row r="7" spans="1:12" x14ac:dyDescent="0.25">
      <c r="A7" s="10" t="s">
        <v>71</v>
      </c>
      <c r="B7" s="10" t="s">
        <v>128</v>
      </c>
      <c r="C7" s="10" t="s">
        <v>129</v>
      </c>
      <c r="D7" s="10" t="s">
        <v>130</v>
      </c>
      <c r="E7" s="10" t="s">
        <v>113</v>
      </c>
      <c r="F7" s="10" t="s">
        <v>106</v>
      </c>
      <c r="G7" s="10" t="s">
        <v>115</v>
      </c>
      <c r="H7" s="11">
        <v>160</v>
      </c>
      <c r="I7" s="11">
        <v>500</v>
      </c>
      <c r="J7" s="10" t="s">
        <v>118</v>
      </c>
      <c r="K7" s="10" t="s">
        <v>134</v>
      </c>
      <c r="L7" s="11">
        <v>2019</v>
      </c>
    </row>
    <row r="8" spans="1:12" x14ac:dyDescent="0.25">
      <c r="A8" s="8" t="s">
        <v>71</v>
      </c>
      <c r="B8" s="8" t="s">
        <v>128</v>
      </c>
      <c r="C8" s="8" t="s">
        <v>135</v>
      </c>
      <c r="D8" s="8" t="s">
        <v>130</v>
      </c>
      <c r="E8" s="8" t="s">
        <v>136</v>
      </c>
      <c r="F8" s="8" t="s">
        <v>106</v>
      </c>
      <c r="G8" s="8" t="s">
        <v>115</v>
      </c>
      <c r="H8" s="9">
        <v>184</v>
      </c>
      <c r="I8" s="9">
        <v>550</v>
      </c>
      <c r="J8" s="8" t="s">
        <v>118</v>
      </c>
      <c r="K8" s="8" t="s">
        <v>109</v>
      </c>
      <c r="L8" s="9">
        <v>2021</v>
      </c>
    </row>
    <row r="9" spans="1:12" x14ac:dyDescent="0.25">
      <c r="A9" s="10" t="s">
        <v>71</v>
      </c>
      <c r="B9" s="10" t="s">
        <v>128</v>
      </c>
      <c r="C9" s="10" t="s">
        <v>140</v>
      </c>
      <c r="D9" s="10" t="s">
        <v>130</v>
      </c>
      <c r="E9" s="10" t="s">
        <v>142</v>
      </c>
      <c r="F9" s="10" t="s">
        <v>106</v>
      </c>
      <c r="G9" s="10" t="s">
        <v>143</v>
      </c>
      <c r="H9" s="11">
        <v>175</v>
      </c>
      <c r="I9" s="11">
        <v>550</v>
      </c>
      <c r="J9" s="10" t="s">
        <v>118</v>
      </c>
      <c r="K9" s="10" t="s">
        <v>127</v>
      </c>
      <c r="L9" s="11">
        <v>2019</v>
      </c>
    </row>
    <row r="10" spans="1:12" x14ac:dyDescent="0.25">
      <c r="A10" s="8" t="s">
        <v>71</v>
      </c>
      <c r="B10" s="8" t="s">
        <v>128</v>
      </c>
      <c r="C10" s="8" t="s">
        <v>147</v>
      </c>
      <c r="D10" s="8" t="s">
        <v>130</v>
      </c>
      <c r="E10" s="8" t="s">
        <v>142</v>
      </c>
      <c r="F10" s="8" t="s">
        <v>106</v>
      </c>
      <c r="G10" s="8" t="s">
        <v>143</v>
      </c>
      <c r="H10" s="9">
        <v>175</v>
      </c>
      <c r="I10" s="9">
        <v>550</v>
      </c>
      <c r="J10" s="8" t="s">
        <v>118</v>
      </c>
      <c r="K10" s="8" t="s">
        <v>127</v>
      </c>
      <c r="L10" s="9">
        <v>2018</v>
      </c>
    </row>
    <row r="11" spans="1:12" x14ac:dyDescent="0.25">
      <c r="A11" s="10" t="s">
        <v>71</v>
      </c>
      <c r="B11" s="10" t="s">
        <v>128</v>
      </c>
      <c r="C11" s="10" t="s">
        <v>152</v>
      </c>
      <c r="D11" s="10" t="s">
        <v>153</v>
      </c>
      <c r="E11" s="10" t="s">
        <v>142</v>
      </c>
      <c r="F11" s="10" t="s">
        <v>106</v>
      </c>
      <c r="G11" s="10" t="s">
        <v>143</v>
      </c>
      <c r="H11" s="11">
        <v>215</v>
      </c>
      <c r="I11" s="11">
        <v>650</v>
      </c>
      <c r="J11" s="10" t="s">
        <v>157</v>
      </c>
      <c r="K11" s="10" t="s">
        <v>127</v>
      </c>
      <c r="L11" s="11">
        <v>2019</v>
      </c>
    </row>
    <row r="12" spans="1:12" x14ac:dyDescent="0.25">
      <c r="A12" s="8" t="s">
        <v>71</v>
      </c>
      <c r="B12" s="8" t="s">
        <v>128</v>
      </c>
      <c r="C12" s="8" t="s">
        <v>158</v>
      </c>
      <c r="D12" s="8" t="s">
        <v>153</v>
      </c>
      <c r="E12" s="8" t="s">
        <v>142</v>
      </c>
      <c r="F12" s="8" t="s">
        <v>106</v>
      </c>
      <c r="G12" s="8" t="s">
        <v>143</v>
      </c>
      <c r="H12" s="9">
        <v>215</v>
      </c>
      <c r="I12" s="9">
        <v>650</v>
      </c>
      <c r="J12" s="8" t="s">
        <v>157</v>
      </c>
      <c r="K12" s="8" t="s">
        <v>127</v>
      </c>
      <c r="L12" s="9">
        <v>2018</v>
      </c>
    </row>
    <row r="13" spans="1:12" x14ac:dyDescent="0.25">
      <c r="A13" s="10" t="s">
        <v>71</v>
      </c>
      <c r="B13" s="10" t="s">
        <v>128</v>
      </c>
      <c r="C13" s="10" t="s">
        <v>162</v>
      </c>
      <c r="D13" s="10" t="s">
        <v>153</v>
      </c>
      <c r="E13" s="10" t="s">
        <v>142</v>
      </c>
      <c r="F13" s="10" t="s">
        <v>106</v>
      </c>
      <c r="G13" s="10" t="s">
        <v>143</v>
      </c>
      <c r="H13" s="11">
        <v>250</v>
      </c>
      <c r="I13" s="11">
        <v>650</v>
      </c>
      <c r="J13" s="10" t="s">
        <v>163</v>
      </c>
      <c r="K13" s="10" t="s">
        <v>127</v>
      </c>
      <c r="L13" s="11">
        <v>2019</v>
      </c>
    </row>
    <row r="14" spans="1:12" x14ac:dyDescent="0.25">
      <c r="A14" s="8" t="s">
        <v>71</v>
      </c>
      <c r="B14" s="8" t="s">
        <v>128</v>
      </c>
      <c r="C14" s="8" t="s">
        <v>164</v>
      </c>
      <c r="D14" s="8" t="s">
        <v>166</v>
      </c>
      <c r="E14" s="8" t="s">
        <v>168</v>
      </c>
      <c r="F14" s="8" t="s">
        <v>106</v>
      </c>
      <c r="G14" s="8" t="s">
        <v>171</v>
      </c>
      <c r="H14" s="9">
        <v>250</v>
      </c>
      <c r="I14" s="9">
        <v>650</v>
      </c>
      <c r="J14" s="8" t="s">
        <v>163</v>
      </c>
      <c r="K14" s="8" t="s">
        <v>127</v>
      </c>
      <c r="L14" s="9">
        <v>2018</v>
      </c>
    </row>
    <row r="15" spans="1:12" x14ac:dyDescent="0.25">
      <c r="A15" s="10" t="s">
        <v>71</v>
      </c>
      <c r="B15" s="10" t="s">
        <v>172</v>
      </c>
      <c r="C15" s="10" t="s">
        <v>174</v>
      </c>
      <c r="D15" s="10" t="s">
        <v>175</v>
      </c>
      <c r="E15" s="10" t="s">
        <v>142</v>
      </c>
      <c r="F15" s="10" t="s">
        <v>106</v>
      </c>
      <c r="G15" s="10" t="s">
        <v>91</v>
      </c>
      <c r="H15" s="11">
        <v>130</v>
      </c>
      <c r="I15" s="11">
        <v>550</v>
      </c>
      <c r="J15" s="10" t="s">
        <v>118</v>
      </c>
      <c r="K15" s="10" t="s">
        <v>98</v>
      </c>
      <c r="L15" s="11">
        <v>2022</v>
      </c>
    </row>
    <row r="16" spans="1:12" x14ac:dyDescent="0.25">
      <c r="A16" s="8" t="s">
        <v>71</v>
      </c>
      <c r="B16" s="8" t="s">
        <v>172</v>
      </c>
      <c r="C16" s="8" t="s">
        <v>181</v>
      </c>
      <c r="D16" s="8" t="s">
        <v>184</v>
      </c>
      <c r="E16" s="8" t="s">
        <v>113</v>
      </c>
      <c r="F16" s="8" t="s">
        <v>106</v>
      </c>
      <c r="G16" s="8" t="s">
        <v>188</v>
      </c>
      <c r="H16" s="9">
        <v>70</v>
      </c>
      <c r="I16" s="9">
        <v>300</v>
      </c>
      <c r="J16" s="8" t="s">
        <v>84</v>
      </c>
      <c r="K16" s="8" t="s">
        <v>109</v>
      </c>
      <c r="L16" s="9">
        <v>2024</v>
      </c>
    </row>
    <row r="17" spans="1:12" x14ac:dyDescent="0.25">
      <c r="A17" s="10" t="s">
        <v>71</v>
      </c>
      <c r="B17" s="10" t="s">
        <v>172</v>
      </c>
      <c r="C17" s="10" t="s">
        <v>196</v>
      </c>
      <c r="D17" s="10" t="s">
        <v>175</v>
      </c>
      <c r="E17" s="10" t="s">
        <v>136</v>
      </c>
      <c r="F17" s="10" t="s">
        <v>106</v>
      </c>
      <c r="G17" s="10" t="s">
        <v>115</v>
      </c>
      <c r="H17" s="11">
        <v>170</v>
      </c>
      <c r="I17" s="11">
        <v>550</v>
      </c>
      <c r="J17" s="10" t="s">
        <v>118</v>
      </c>
      <c r="K17" s="10" t="s">
        <v>134</v>
      </c>
      <c r="L17" s="11">
        <v>2021</v>
      </c>
    </row>
    <row r="18" spans="1:12" x14ac:dyDescent="0.25">
      <c r="A18" s="8" t="s">
        <v>71</v>
      </c>
      <c r="B18" s="8" t="s">
        <v>172</v>
      </c>
      <c r="C18" s="8" t="s">
        <v>206</v>
      </c>
      <c r="D18" s="8" t="s">
        <v>208</v>
      </c>
      <c r="E18" s="8" t="s">
        <v>142</v>
      </c>
      <c r="F18" s="8" t="s">
        <v>211</v>
      </c>
      <c r="G18" s="8" t="s">
        <v>143</v>
      </c>
      <c r="H18" s="9">
        <v>200</v>
      </c>
      <c r="I18" s="9">
        <v>600</v>
      </c>
      <c r="J18" s="8" t="s">
        <v>214</v>
      </c>
      <c r="K18" s="8" t="s">
        <v>127</v>
      </c>
      <c r="L18" s="9">
        <v>2020</v>
      </c>
    </row>
    <row r="19" spans="1:12" x14ac:dyDescent="0.25">
      <c r="A19" s="10" t="s">
        <v>71</v>
      </c>
      <c r="B19" s="10" t="s">
        <v>172</v>
      </c>
      <c r="C19" s="10" t="s">
        <v>216</v>
      </c>
      <c r="D19" s="10" t="s">
        <v>208</v>
      </c>
      <c r="E19" s="10" t="s">
        <v>142</v>
      </c>
      <c r="F19" s="10" t="s">
        <v>106</v>
      </c>
      <c r="G19" s="10" t="s">
        <v>143</v>
      </c>
      <c r="H19" s="11">
        <v>220</v>
      </c>
      <c r="I19" s="11">
        <v>650</v>
      </c>
      <c r="J19" s="10" t="s">
        <v>214</v>
      </c>
      <c r="K19" s="10" t="s">
        <v>127</v>
      </c>
      <c r="L19" s="11">
        <v>2020</v>
      </c>
    </row>
    <row r="20" spans="1:12" x14ac:dyDescent="0.25">
      <c r="A20" s="8" t="s">
        <v>71</v>
      </c>
      <c r="B20" s="8" t="s">
        <v>172</v>
      </c>
      <c r="C20" s="8" t="s">
        <v>227</v>
      </c>
      <c r="D20" s="8" t="s">
        <v>208</v>
      </c>
      <c r="E20" s="8" t="s">
        <v>142</v>
      </c>
      <c r="F20" s="8" t="s">
        <v>229</v>
      </c>
      <c r="G20" s="8" t="s">
        <v>143</v>
      </c>
      <c r="H20" s="9">
        <v>290</v>
      </c>
      <c r="I20" s="9">
        <v>750</v>
      </c>
      <c r="J20" s="8" t="s">
        <v>233</v>
      </c>
      <c r="K20" s="8" t="s">
        <v>127</v>
      </c>
      <c r="L20" s="9">
        <v>2021</v>
      </c>
    </row>
    <row r="21" spans="1:12" ht="15.75" customHeight="1" x14ac:dyDescent="0.25">
      <c r="A21" s="10" t="s">
        <v>71</v>
      </c>
      <c r="B21" s="10" t="s">
        <v>172</v>
      </c>
      <c r="C21" s="10" t="s">
        <v>238</v>
      </c>
      <c r="D21" s="10" t="s">
        <v>239</v>
      </c>
      <c r="E21" s="10" t="s">
        <v>240</v>
      </c>
      <c r="F21" s="10" t="s">
        <v>229</v>
      </c>
      <c r="G21" s="10" t="s">
        <v>242</v>
      </c>
      <c r="H21" s="11">
        <v>320</v>
      </c>
      <c r="I21" s="11">
        <v>750</v>
      </c>
      <c r="J21" s="10" t="s">
        <v>233</v>
      </c>
      <c r="K21" s="10" t="s">
        <v>127</v>
      </c>
      <c r="L21" s="11">
        <v>2020</v>
      </c>
    </row>
    <row r="22" spans="1:12" ht="15.75" customHeight="1" x14ac:dyDescent="0.25">
      <c r="A22" s="8" t="s">
        <v>71</v>
      </c>
      <c r="B22" s="8" t="s">
        <v>172</v>
      </c>
      <c r="C22" s="8" t="s">
        <v>249</v>
      </c>
      <c r="D22" s="8" t="s">
        <v>239</v>
      </c>
      <c r="E22" s="8" t="s">
        <v>136</v>
      </c>
      <c r="F22" s="8" t="s">
        <v>229</v>
      </c>
      <c r="G22" s="8" t="s">
        <v>253</v>
      </c>
      <c r="H22" s="9">
        <v>350</v>
      </c>
      <c r="I22" s="9">
        <v>750</v>
      </c>
      <c r="J22" s="8" t="s">
        <v>233</v>
      </c>
      <c r="K22" s="8" t="s">
        <v>127</v>
      </c>
      <c r="L22" s="9">
        <v>2022</v>
      </c>
    </row>
    <row r="23" spans="1:12" ht="15.75" customHeight="1" x14ac:dyDescent="0.25">
      <c r="A23" s="10" t="s">
        <v>71</v>
      </c>
      <c r="B23" s="10" t="s">
        <v>172</v>
      </c>
      <c r="C23" s="10" t="s">
        <v>255</v>
      </c>
      <c r="D23" s="10" t="s">
        <v>239</v>
      </c>
      <c r="E23" s="10" t="s">
        <v>136</v>
      </c>
      <c r="F23" s="10" t="s">
        <v>229</v>
      </c>
      <c r="G23" s="10" t="s">
        <v>253</v>
      </c>
      <c r="H23" s="11">
        <v>350</v>
      </c>
      <c r="I23" s="11">
        <v>750</v>
      </c>
      <c r="J23" s="10" t="s">
        <v>233</v>
      </c>
      <c r="K23" s="10" t="s">
        <v>127</v>
      </c>
      <c r="L23" s="11">
        <v>2021</v>
      </c>
    </row>
    <row r="24" spans="1:12" ht="15.75" customHeight="1" x14ac:dyDescent="0.25">
      <c r="A24" s="8" t="s">
        <v>71</v>
      </c>
      <c r="B24" s="8" t="s">
        <v>172</v>
      </c>
      <c r="C24" s="8" t="s">
        <v>261</v>
      </c>
      <c r="D24" s="8" t="s">
        <v>239</v>
      </c>
      <c r="E24" s="8" t="s">
        <v>263</v>
      </c>
      <c r="F24" s="8" t="s">
        <v>229</v>
      </c>
      <c r="G24" s="8" t="s">
        <v>253</v>
      </c>
      <c r="H24" s="9">
        <v>350</v>
      </c>
      <c r="I24" s="9">
        <v>750</v>
      </c>
      <c r="J24" s="8" t="s">
        <v>233</v>
      </c>
      <c r="K24" s="8" t="s">
        <v>127</v>
      </c>
      <c r="L24" s="9">
        <v>2020</v>
      </c>
    </row>
    <row r="25" spans="1:12" ht="15.75" customHeight="1" x14ac:dyDescent="0.25">
      <c r="A25" s="10" t="s">
        <v>71</v>
      </c>
      <c r="B25" s="10" t="s">
        <v>172</v>
      </c>
      <c r="C25" s="10" t="s">
        <v>269</v>
      </c>
      <c r="D25" s="10" t="s">
        <v>239</v>
      </c>
      <c r="E25" s="10" t="s">
        <v>263</v>
      </c>
      <c r="F25" s="10" t="s">
        <v>229</v>
      </c>
      <c r="G25" s="10" t="s">
        <v>253</v>
      </c>
      <c r="H25" s="11">
        <v>450</v>
      </c>
      <c r="I25" s="11">
        <v>850</v>
      </c>
      <c r="J25" s="10" t="s">
        <v>271</v>
      </c>
      <c r="K25" s="10" t="s">
        <v>127</v>
      </c>
      <c r="L25" s="11">
        <v>2022</v>
      </c>
    </row>
    <row r="26" spans="1:12" ht="15.75" customHeight="1" x14ac:dyDescent="0.25">
      <c r="A26" s="8" t="s">
        <v>71</v>
      </c>
      <c r="B26" s="8" t="s">
        <v>276</v>
      </c>
      <c r="C26" s="8" t="s">
        <v>277</v>
      </c>
      <c r="D26" s="8" t="s">
        <v>278</v>
      </c>
      <c r="E26" s="8" t="s">
        <v>142</v>
      </c>
      <c r="F26" s="8" t="s">
        <v>106</v>
      </c>
      <c r="G26" s="8" t="s">
        <v>91</v>
      </c>
      <c r="H26" s="9">
        <v>115</v>
      </c>
      <c r="I26" s="9">
        <v>550</v>
      </c>
      <c r="J26" s="8" t="s">
        <v>118</v>
      </c>
      <c r="K26" s="8" t="s">
        <v>282</v>
      </c>
      <c r="L26" s="9">
        <v>2023</v>
      </c>
    </row>
    <row r="27" spans="1:12" ht="15.75" customHeight="1" x14ac:dyDescent="0.25">
      <c r="A27" s="10" t="s">
        <v>71</v>
      </c>
      <c r="B27" s="10" t="s">
        <v>276</v>
      </c>
      <c r="C27" s="10" t="s">
        <v>286</v>
      </c>
      <c r="D27" s="10" t="s">
        <v>287</v>
      </c>
      <c r="E27" s="10" t="s">
        <v>142</v>
      </c>
      <c r="F27" s="10" t="s">
        <v>106</v>
      </c>
      <c r="G27" s="10" t="s">
        <v>91</v>
      </c>
      <c r="H27" s="11">
        <v>160</v>
      </c>
      <c r="I27" s="11">
        <v>600</v>
      </c>
      <c r="J27" s="10" t="s">
        <v>289</v>
      </c>
      <c r="K27" s="10" t="s">
        <v>109</v>
      </c>
      <c r="L27" s="11">
        <v>2023</v>
      </c>
    </row>
    <row r="28" spans="1:12" ht="15.75" customHeight="1" x14ac:dyDescent="0.25">
      <c r="A28" s="8" t="s">
        <v>71</v>
      </c>
      <c r="B28" s="8" t="s">
        <v>276</v>
      </c>
      <c r="C28" s="8" t="s">
        <v>293</v>
      </c>
      <c r="D28" s="8" t="s">
        <v>287</v>
      </c>
      <c r="E28" s="8" t="s">
        <v>212</v>
      </c>
      <c r="F28" s="8" t="s">
        <v>106</v>
      </c>
      <c r="G28" s="8" t="s">
        <v>91</v>
      </c>
      <c r="H28" s="9">
        <v>165</v>
      </c>
      <c r="I28" s="9">
        <v>600</v>
      </c>
      <c r="J28" s="8" t="s">
        <v>289</v>
      </c>
      <c r="K28" s="8" t="s">
        <v>109</v>
      </c>
      <c r="L28" s="9">
        <v>2023</v>
      </c>
    </row>
    <row r="29" spans="1:12" ht="15.75" customHeight="1" x14ac:dyDescent="0.25">
      <c r="A29" s="10" t="s">
        <v>71</v>
      </c>
      <c r="B29" s="10" t="s">
        <v>276</v>
      </c>
      <c r="C29" s="10" t="s">
        <v>302</v>
      </c>
      <c r="D29" s="10" t="s">
        <v>304</v>
      </c>
      <c r="E29" s="10" t="s">
        <v>136</v>
      </c>
      <c r="F29" s="10" t="s">
        <v>229</v>
      </c>
      <c r="G29" s="10" t="s">
        <v>115</v>
      </c>
      <c r="H29" s="11">
        <v>200</v>
      </c>
      <c r="I29" s="11">
        <v>650</v>
      </c>
      <c r="J29" s="10" t="s">
        <v>271</v>
      </c>
      <c r="K29" s="10" t="s">
        <v>282</v>
      </c>
      <c r="L29" s="11">
        <v>2023</v>
      </c>
    </row>
    <row r="30" spans="1:12" ht="15.75" customHeight="1" x14ac:dyDescent="0.25">
      <c r="A30" s="8" t="s">
        <v>71</v>
      </c>
      <c r="B30" s="8" t="s">
        <v>276</v>
      </c>
      <c r="C30" s="8" t="s">
        <v>311</v>
      </c>
      <c r="D30" s="8" t="s">
        <v>304</v>
      </c>
      <c r="E30" s="8" t="s">
        <v>136</v>
      </c>
      <c r="F30" s="8" t="s">
        <v>229</v>
      </c>
      <c r="G30" s="8" t="s">
        <v>115</v>
      </c>
      <c r="H30" s="9">
        <v>220</v>
      </c>
      <c r="I30" s="9">
        <v>650</v>
      </c>
      <c r="J30" s="8" t="s">
        <v>271</v>
      </c>
      <c r="K30" s="8" t="s">
        <v>109</v>
      </c>
      <c r="L30" s="9">
        <v>2024</v>
      </c>
    </row>
    <row r="31" spans="1:12" ht="15.75" customHeight="1" x14ac:dyDescent="0.25">
      <c r="A31" s="10" t="s">
        <v>71</v>
      </c>
      <c r="B31" s="10" t="s">
        <v>276</v>
      </c>
      <c r="C31" s="10" t="s">
        <v>316</v>
      </c>
      <c r="D31" s="10" t="s">
        <v>304</v>
      </c>
      <c r="E31" s="10" t="s">
        <v>136</v>
      </c>
      <c r="F31" s="10" t="s">
        <v>229</v>
      </c>
      <c r="G31" s="10" t="s">
        <v>115</v>
      </c>
      <c r="H31" s="11">
        <v>285</v>
      </c>
      <c r="I31" s="11">
        <v>700</v>
      </c>
      <c r="J31" s="10" t="s">
        <v>271</v>
      </c>
      <c r="K31" s="10" t="s">
        <v>109</v>
      </c>
      <c r="L31" s="11">
        <v>2023</v>
      </c>
    </row>
    <row r="32" spans="1:12" ht="15.75" customHeight="1" x14ac:dyDescent="0.25">
      <c r="A32" s="8" t="s">
        <v>71</v>
      </c>
      <c r="B32" s="8" t="s">
        <v>276</v>
      </c>
      <c r="C32" s="8" t="s">
        <v>321</v>
      </c>
      <c r="D32" s="8" t="s">
        <v>323</v>
      </c>
      <c r="E32" s="8" t="s">
        <v>212</v>
      </c>
      <c r="F32" s="8" t="s">
        <v>229</v>
      </c>
      <c r="G32" s="8" t="s">
        <v>143</v>
      </c>
      <c r="H32" s="9">
        <v>285</v>
      </c>
      <c r="I32" s="9">
        <v>700</v>
      </c>
      <c r="J32" s="8" t="s">
        <v>271</v>
      </c>
      <c r="K32" s="8" t="s">
        <v>109</v>
      </c>
      <c r="L32" s="9">
        <v>2024</v>
      </c>
    </row>
    <row r="33" spans="1:12" ht="15.75" customHeight="1" x14ac:dyDescent="0.25">
      <c r="A33" s="10" t="s">
        <v>71</v>
      </c>
      <c r="B33" s="10" t="s">
        <v>276</v>
      </c>
      <c r="C33" s="10" t="s">
        <v>330</v>
      </c>
      <c r="D33" s="10" t="s">
        <v>323</v>
      </c>
      <c r="E33" s="10" t="s">
        <v>212</v>
      </c>
      <c r="F33" s="10" t="s">
        <v>229</v>
      </c>
      <c r="G33" s="10" t="s">
        <v>143</v>
      </c>
      <c r="H33" s="11">
        <v>320</v>
      </c>
      <c r="I33" s="11">
        <v>750</v>
      </c>
      <c r="J33" s="10" t="s">
        <v>271</v>
      </c>
      <c r="K33" s="10" t="s">
        <v>109</v>
      </c>
      <c r="L33" s="11">
        <v>2022</v>
      </c>
    </row>
    <row r="34" spans="1:12" ht="15.75" customHeight="1" x14ac:dyDescent="0.25">
      <c r="A34" s="8" t="s">
        <v>71</v>
      </c>
      <c r="B34" s="8" t="s">
        <v>276</v>
      </c>
      <c r="C34" s="8" t="s">
        <v>335</v>
      </c>
      <c r="D34" s="8" t="s">
        <v>323</v>
      </c>
      <c r="E34" s="8" t="s">
        <v>212</v>
      </c>
      <c r="F34" s="8" t="s">
        <v>229</v>
      </c>
      <c r="G34" s="8" t="s">
        <v>143</v>
      </c>
      <c r="H34" s="9">
        <v>320</v>
      </c>
      <c r="I34" s="9">
        <v>750</v>
      </c>
      <c r="J34" s="8" t="s">
        <v>271</v>
      </c>
      <c r="K34" s="8" t="s">
        <v>109</v>
      </c>
      <c r="L34" s="9">
        <v>2024</v>
      </c>
    </row>
    <row r="35" spans="1:12" ht="15.75" customHeight="1" x14ac:dyDescent="0.25">
      <c r="A35" s="10" t="s">
        <v>71</v>
      </c>
      <c r="B35" s="10" t="s">
        <v>276</v>
      </c>
      <c r="C35" s="10" t="s">
        <v>342</v>
      </c>
      <c r="D35" s="10" t="s">
        <v>345</v>
      </c>
      <c r="E35" s="10" t="s">
        <v>263</v>
      </c>
      <c r="F35" s="10" t="s">
        <v>229</v>
      </c>
      <c r="G35" s="10" t="s">
        <v>253</v>
      </c>
      <c r="H35" s="11">
        <v>450</v>
      </c>
      <c r="I35" s="11">
        <v>850</v>
      </c>
      <c r="J35" s="10" t="s">
        <v>271</v>
      </c>
      <c r="K35" s="10" t="s">
        <v>98</v>
      </c>
      <c r="L35" s="11">
        <v>2022</v>
      </c>
    </row>
    <row r="36" spans="1:12" ht="15.75" customHeight="1" x14ac:dyDescent="0.25">
      <c r="A36" s="8" t="s">
        <v>71</v>
      </c>
      <c r="B36" s="8" t="s">
        <v>352</v>
      </c>
      <c r="C36" s="8" t="s">
        <v>354</v>
      </c>
      <c r="D36" s="8" t="s">
        <v>356</v>
      </c>
      <c r="E36" s="8" t="s">
        <v>142</v>
      </c>
      <c r="F36" s="8" t="s">
        <v>358</v>
      </c>
      <c r="G36" s="8" t="s">
        <v>91</v>
      </c>
      <c r="H36" s="9">
        <v>145</v>
      </c>
      <c r="I36" s="9">
        <v>550</v>
      </c>
      <c r="J36" s="8" t="s">
        <v>118</v>
      </c>
      <c r="K36" s="8" t="s">
        <v>282</v>
      </c>
      <c r="L36" s="9">
        <v>2025</v>
      </c>
    </row>
    <row r="37" spans="1:12" ht="15.75" customHeight="1" x14ac:dyDescent="0.25">
      <c r="A37" s="10" t="s">
        <v>71</v>
      </c>
      <c r="B37" s="10" t="s">
        <v>352</v>
      </c>
      <c r="C37" s="10" t="s">
        <v>362</v>
      </c>
      <c r="D37" s="10" t="s">
        <v>356</v>
      </c>
      <c r="E37" s="10" t="s">
        <v>142</v>
      </c>
      <c r="F37" s="10" t="s">
        <v>358</v>
      </c>
      <c r="G37" s="10" t="s">
        <v>91</v>
      </c>
      <c r="H37" s="11">
        <v>180</v>
      </c>
      <c r="I37" s="11">
        <v>600</v>
      </c>
      <c r="J37" s="10" t="s">
        <v>289</v>
      </c>
      <c r="K37" s="10" t="s">
        <v>109</v>
      </c>
      <c r="L37" s="11">
        <v>2025</v>
      </c>
    </row>
    <row r="38" spans="1:12" ht="15.75" customHeight="1" x14ac:dyDescent="0.25">
      <c r="A38" s="8" t="s">
        <v>71</v>
      </c>
      <c r="B38" s="8" t="s">
        <v>352</v>
      </c>
      <c r="C38" s="8" t="s">
        <v>370</v>
      </c>
      <c r="D38" s="8" t="s">
        <v>356</v>
      </c>
      <c r="E38" s="8" t="s">
        <v>212</v>
      </c>
      <c r="F38" s="8" t="s">
        <v>358</v>
      </c>
      <c r="G38" s="8" t="s">
        <v>91</v>
      </c>
      <c r="H38" s="9">
        <v>180</v>
      </c>
      <c r="I38" s="9">
        <v>600</v>
      </c>
      <c r="J38" s="8" t="s">
        <v>289</v>
      </c>
      <c r="K38" s="8" t="s">
        <v>109</v>
      </c>
      <c r="L38" s="9">
        <v>2025</v>
      </c>
    </row>
    <row r="39" spans="1:12" ht="15.75" customHeight="1" x14ac:dyDescent="0.25">
      <c r="A39" s="10" t="s">
        <v>71</v>
      </c>
      <c r="B39" s="10" t="s">
        <v>352</v>
      </c>
      <c r="C39" s="10" t="s">
        <v>378</v>
      </c>
      <c r="D39" s="10" t="s">
        <v>379</v>
      </c>
      <c r="E39" s="10" t="s">
        <v>136</v>
      </c>
      <c r="F39" s="10" t="s">
        <v>358</v>
      </c>
      <c r="G39" s="10" t="s">
        <v>115</v>
      </c>
      <c r="H39" s="11">
        <v>250</v>
      </c>
      <c r="I39" s="11">
        <v>650</v>
      </c>
      <c r="J39" s="10" t="s">
        <v>382</v>
      </c>
      <c r="K39" s="10" t="s">
        <v>109</v>
      </c>
      <c r="L39" s="11">
        <v>2025</v>
      </c>
    </row>
    <row r="40" spans="1:12" ht="15.75" customHeight="1" x14ac:dyDescent="0.25">
      <c r="A40" s="8" t="s">
        <v>71</v>
      </c>
      <c r="B40" s="8" t="s">
        <v>352</v>
      </c>
      <c r="C40" s="8" t="s">
        <v>388</v>
      </c>
      <c r="D40" s="8" t="s">
        <v>390</v>
      </c>
      <c r="E40" s="8" t="s">
        <v>212</v>
      </c>
      <c r="F40" s="8" t="s">
        <v>358</v>
      </c>
      <c r="G40" s="8" t="s">
        <v>143</v>
      </c>
      <c r="H40" s="9">
        <v>300</v>
      </c>
      <c r="I40" s="9">
        <v>750</v>
      </c>
      <c r="J40" s="8" t="s">
        <v>382</v>
      </c>
      <c r="K40" s="8" t="s">
        <v>109</v>
      </c>
      <c r="L40" s="9">
        <v>2025</v>
      </c>
    </row>
    <row r="41" spans="1:12" ht="15.75" customHeight="1" x14ac:dyDescent="0.25">
      <c r="A41" s="10" t="s">
        <v>71</v>
      </c>
      <c r="B41" s="10" t="s">
        <v>352</v>
      </c>
      <c r="C41" s="10" t="s">
        <v>397</v>
      </c>
      <c r="D41" s="10" t="s">
        <v>390</v>
      </c>
      <c r="E41" s="10" t="s">
        <v>212</v>
      </c>
      <c r="F41" s="10" t="s">
        <v>358</v>
      </c>
      <c r="G41" s="10" t="s">
        <v>143</v>
      </c>
      <c r="H41" s="11">
        <v>360</v>
      </c>
      <c r="I41" s="11">
        <v>850</v>
      </c>
      <c r="J41" s="10" t="s">
        <v>382</v>
      </c>
      <c r="K41" s="10" t="s">
        <v>109</v>
      </c>
      <c r="L41" s="11">
        <v>2025</v>
      </c>
    </row>
    <row r="42" spans="1:12" ht="15.75" customHeight="1" x14ac:dyDescent="0.25">
      <c r="A42" s="8" t="s">
        <v>71</v>
      </c>
      <c r="B42" s="8" t="s">
        <v>352</v>
      </c>
      <c r="C42" s="8" t="s">
        <v>404</v>
      </c>
      <c r="D42" s="8" t="s">
        <v>405</v>
      </c>
      <c r="E42" s="8" t="s">
        <v>219</v>
      </c>
      <c r="F42" s="8" t="s">
        <v>358</v>
      </c>
      <c r="G42" s="8" t="s">
        <v>409</v>
      </c>
      <c r="H42" s="9">
        <v>575</v>
      </c>
      <c r="I42" s="9">
        <v>1000</v>
      </c>
      <c r="J42" s="8" t="s">
        <v>382</v>
      </c>
      <c r="K42" s="8" t="s">
        <v>98</v>
      </c>
      <c r="L42" s="9">
        <v>2025</v>
      </c>
    </row>
    <row r="43" spans="1:12" ht="15.75" customHeight="1" x14ac:dyDescent="0.25">
      <c r="A43" s="10" t="s">
        <v>412</v>
      </c>
      <c r="B43" s="10" t="s">
        <v>413</v>
      </c>
      <c r="C43" s="10" t="s">
        <v>414</v>
      </c>
      <c r="D43" s="10" t="s">
        <v>415</v>
      </c>
      <c r="E43" s="10" t="s">
        <v>416</v>
      </c>
      <c r="F43" s="10" t="s">
        <v>106</v>
      </c>
      <c r="G43" s="10" t="s">
        <v>91</v>
      </c>
      <c r="H43" s="11">
        <v>130</v>
      </c>
      <c r="I43" s="11">
        <v>450</v>
      </c>
      <c r="J43" s="10" t="s">
        <v>118</v>
      </c>
      <c r="K43" s="10" t="s">
        <v>421</v>
      </c>
      <c r="L43" s="11">
        <v>2019</v>
      </c>
    </row>
    <row r="44" spans="1:12" ht="15.75" customHeight="1" x14ac:dyDescent="0.25">
      <c r="A44" s="8" t="s">
        <v>412</v>
      </c>
      <c r="B44" s="8" t="s">
        <v>413</v>
      </c>
      <c r="C44" s="8" t="s">
        <v>424</v>
      </c>
      <c r="D44" s="8" t="s">
        <v>425</v>
      </c>
      <c r="E44" s="8" t="s">
        <v>113</v>
      </c>
      <c r="F44" s="8" t="s">
        <v>106</v>
      </c>
      <c r="G44" s="8" t="s">
        <v>115</v>
      </c>
      <c r="H44" s="9">
        <v>150</v>
      </c>
      <c r="I44" s="9">
        <v>500</v>
      </c>
      <c r="J44" s="8" t="s">
        <v>118</v>
      </c>
      <c r="K44" s="8" t="s">
        <v>421</v>
      </c>
      <c r="L44" s="9">
        <v>2020</v>
      </c>
    </row>
    <row r="45" spans="1:12" ht="15.75" customHeight="1" x14ac:dyDescent="0.25">
      <c r="A45" s="10" t="s">
        <v>412</v>
      </c>
      <c r="B45" s="10" t="s">
        <v>413</v>
      </c>
      <c r="C45" s="10" t="s">
        <v>434</v>
      </c>
      <c r="D45" s="10" t="s">
        <v>425</v>
      </c>
      <c r="E45" s="10" t="s">
        <v>142</v>
      </c>
      <c r="F45" s="10" t="s">
        <v>106</v>
      </c>
      <c r="G45" s="10" t="s">
        <v>143</v>
      </c>
      <c r="H45" s="11">
        <v>180</v>
      </c>
      <c r="I45" s="11">
        <v>550</v>
      </c>
      <c r="J45" s="10" t="s">
        <v>157</v>
      </c>
      <c r="K45" s="10" t="s">
        <v>421</v>
      </c>
      <c r="L45" s="11">
        <v>2019</v>
      </c>
    </row>
    <row r="46" spans="1:12" ht="15.75" customHeight="1" x14ac:dyDescent="0.25">
      <c r="A46" s="8" t="s">
        <v>412</v>
      </c>
      <c r="B46" s="8" t="s">
        <v>413</v>
      </c>
      <c r="C46" s="8" t="s">
        <v>441</v>
      </c>
      <c r="D46" s="8" t="s">
        <v>425</v>
      </c>
      <c r="E46" s="8" t="s">
        <v>142</v>
      </c>
      <c r="F46" s="8" t="s">
        <v>106</v>
      </c>
      <c r="G46" s="8" t="s">
        <v>143</v>
      </c>
      <c r="H46" s="9">
        <v>225</v>
      </c>
      <c r="I46" s="9">
        <v>600</v>
      </c>
      <c r="J46" s="8" t="s">
        <v>157</v>
      </c>
      <c r="K46" s="8" t="s">
        <v>421</v>
      </c>
      <c r="L46" s="9">
        <v>2019</v>
      </c>
    </row>
    <row r="47" spans="1:12" ht="15.75" customHeight="1" x14ac:dyDescent="0.25">
      <c r="A47" s="10" t="s">
        <v>412</v>
      </c>
      <c r="B47" s="10" t="s">
        <v>445</v>
      </c>
      <c r="C47" s="10" t="s">
        <v>446</v>
      </c>
      <c r="D47" s="10" t="s">
        <v>449</v>
      </c>
      <c r="E47" s="10" t="s">
        <v>85</v>
      </c>
      <c r="F47" s="10" t="s">
        <v>106</v>
      </c>
      <c r="G47" s="10" t="s">
        <v>452</v>
      </c>
      <c r="H47" s="11">
        <v>53</v>
      </c>
      <c r="I47" s="11">
        <v>300</v>
      </c>
      <c r="J47" s="10" t="s">
        <v>84</v>
      </c>
      <c r="K47" s="10" t="s">
        <v>453</v>
      </c>
      <c r="L47" s="11">
        <v>2022</v>
      </c>
    </row>
    <row r="48" spans="1:12" ht="15.75" customHeight="1" x14ac:dyDescent="0.25">
      <c r="A48" s="8" t="s">
        <v>412</v>
      </c>
      <c r="B48" s="8" t="s">
        <v>445</v>
      </c>
      <c r="C48" s="8" t="s">
        <v>455</v>
      </c>
      <c r="D48" s="8" t="s">
        <v>449</v>
      </c>
      <c r="E48" s="8" t="s">
        <v>85</v>
      </c>
      <c r="F48" s="8" t="s">
        <v>106</v>
      </c>
      <c r="G48" s="8" t="s">
        <v>452</v>
      </c>
      <c r="H48" s="9">
        <v>107</v>
      </c>
      <c r="I48" s="9">
        <v>400</v>
      </c>
      <c r="J48" s="8" t="s">
        <v>108</v>
      </c>
      <c r="K48" s="8" t="s">
        <v>459</v>
      </c>
      <c r="L48" s="9">
        <v>2022</v>
      </c>
    </row>
    <row r="49" spans="1:12" ht="15.75" customHeight="1" x14ac:dyDescent="0.25">
      <c r="A49" s="10" t="s">
        <v>412</v>
      </c>
      <c r="B49" s="10" t="s">
        <v>445</v>
      </c>
      <c r="C49" s="10" t="s">
        <v>461</v>
      </c>
      <c r="D49" s="10" t="s">
        <v>462</v>
      </c>
      <c r="E49" s="10" t="s">
        <v>142</v>
      </c>
      <c r="F49" s="10" t="s">
        <v>106</v>
      </c>
      <c r="G49" s="10" t="s">
        <v>91</v>
      </c>
      <c r="H49" s="11">
        <v>132</v>
      </c>
      <c r="I49" s="11">
        <v>450</v>
      </c>
      <c r="J49" s="10" t="s">
        <v>118</v>
      </c>
      <c r="K49" s="10" t="s">
        <v>459</v>
      </c>
      <c r="L49" s="11">
        <v>2021</v>
      </c>
    </row>
    <row r="50" spans="1:12" ht="15.75" customHeight="1" x14ac:dyDescent="0.25">
      <c r="A50" s="8" t="s">
        <v>412</v>
      </c>
      <c r="B50" s="8" t="s">
        <v>445</v>
      </c>
      <c r="C50" s="8" t="s">
        <v>463</v>
      </c>
      <c r="D50" s="8" t="s">
        <v>462</v>
      </c>
      <c r="E50" s="8" t="s">
        <v>142</v>
      </c>
      <c r="F50" s="8" t="s">
        <v>106</v>
      </c>
      <c r="G50" s="8" t="s">
        <v>91</v>
      </c>
      <c r="H50" s="9">
        <v>160</v>
      </c>
      <c r="I50" s="9">
        <v>500</v>
      </c>
      <c r="J50" s="8" t="s">
        <v>118</v>
      </c>
      <c r="K50" s="8" t="s">
        <v>459</v>
      </c>
      <c r="L50" s="9">
        <v>2021</v>
      </c>
    </row>
    <row r="51" spans="1:12" ht="15.75" customHeight="1" x14ac:dyDescent="0.25">
      <c r="A51" s="10" t="s">
        <v>412</v>
      </c>
      <c r="B51" s="10" t="s">
        <v>445</v>
      </c>
      <c r="C51" s="10" t="s">
        <v>467</v>
      </c>
      <c r="D51" s="10" t="s">
        <v>462</v>
      </c>
      <c r="E51" s="10" t="s">
        <v>142</v>
      </c>
      <c r="F51" s="10" t="s">
        <v>106</v>
      </c>
      <c r="G51" s="10" t="s">
        <v>91</v>
      </c>
      <c r="H51" s="11">
        <v>180</v>
      </c>
      <c r="I51" s="11">
        <v>550</v>
      </c>
      <c r="J51" s="10" t="s">
        <v>118</v>
      </c>
      <c r="K51" s="10" t="s">
        <v>459</v>
      </c>
      <c r="L51" s="11">
        <v>2022</v>
      </c>
    </row>
    <row r="52" spans="1:12" ht="15.75" customHeight="1" x14ac:dyDescent="0.25">
      <c r="A52" s="8" t="s">
        <v>412</v>
      </c>
      <c r="B52" s="8" t="s">
        <v>445</v>
      </c>
      <c r="C52" s="8" t="s">
        <v>473</v>
      </c>
      <c r="D52" s="8" t="s">
        <v>474</v>
      </c>
      <c r="E52" s="8" t="s">
        <v>136</v>
      </c>
      <c r="F52" s="8" t="s">
        <v>106</v>
      </c>
      <c r="G52" s="8" t="s">
        <v>115</v>
      </c>
      <c r="H52" s="9">
        <v>230</v>
      </c>
      <c r="I52" s="9">
        <v>650</v>
      </c>
      <c r="J52" s="8" t="s">
        <v>157</v>
      </c>
      <c r="K52" s="8" t="s">
        <v>459</v>
      </c>
      <c r="L52" s="9">
        <v>2021</v>
      </c>
    </row>
    <row r="53" spans="1:12" ht="15.75" customHeight="1" x14ac:dyDescent="0.25">
      <c r="A53" s="10" t="s">
        <v>412</v>
      </c>
      <c r="B53" s="10" t="s">
        <v>445</v>
      </c>
      <c r="C53" s="10" t="s">
        <v>476</v>
      </c>
      <c r="D53" s="10" t="s">
        <v>474</v>
      </c>
      <c r="E53" s="10" t="s">
        <v>136</v>
      </c>
      <c r="F53" s="10" t="s">
        <v>106</v>
      </c>
      <c r="G53" s="10" t="s">
        <v>115</v>
      </c>
      <c r="H53" s="11">
        <v>250</v>
      </c>
      <c r="I53" s="11">
        <v>650</v>
      </c>
      <c r="J53" s="10" t="s">
        <v>157</v>
      </c>
      <c r="K53" s="10" t="s">
        <v>453</v>
      </c>
      <c r="L53" s="11">
        <v>2022</v>
      </c>
    </row>
    <row r="54" spans="1:12" ht="15.75" customHeight="1" x14ac:dyDescent="0.25">
      <c r="A54" s="8" t="s">
        <v>412</v>
      </c>
      <c r="B54" s="8" t="s">
        <v>445</v>
      </c>
      <c r="C54" s="8" t="s">
        <v>482</v>
      </c>
      <c r="D54" s="8" t="s">
        <v>484</v>
      </c>
      <c r="E54" s="8" t="s">
        <v>212</v>
      </c>
      <c r="F54" s="8" t="s">
        <v>106</v>
      </c>
      <c r="G54" s="8" t="s">
        <v>143</v>
      </c>
      <c r="H54" s="9">
        <v>250</v>
      </c>
      <c r="I54" s="9">
        <v>650</v>
      </c>
      <c r="J54" s="8" t="s">
        <v>163</v>
      </c>
      <c r="K54" s="8" t="s">
        <v>453</v>
      </c>
      <c r="L54" s="9">
        <v>2020</v>
      </c>
    </row>
    <row r="55" spans="1:12" ht="15.75" customHeight="1" x14ac:dyDescent="0.25">
      <c r="A55" s="10" t="s">
        <v>412</v>
      </c>
      <c r="B55" s="10" t="s">
        <v>445</v>
      </c>
      <c r="C55" s="10" t="s">
        <v>487</v>
      </c>
      <c r="D55" s="10" t="s">
        <v>484</v>
      </c>
      <c r="E55" s="10" t="s">
        <v>212</v>
      </c>
      <c r="F55" s="10" t="s">
        <v>106</v>
      </c>
      <c r="G55" s="10" t="s">
        <v>143</v>
      </c>
      <c r="H55" s="11">
        <v>300</v>
      </c>
      <c r="I55" s="11">
        <v>750</v>
      </c>
      <c r="J55" s="10" t="s">
        <v>163</v>
      </c>
      <c r="K55" s="10" t="s">
        <v>459</v>
      </c>
      <c r="L55" s="11">
        <v>2020</v>
      </c>
    </row>
    <row r="56" spans="1:12" ht="15.75" customHeight="1" x14ac:dyDescent="0.25">
      <c r="A56" s="8" t="s">
        <v>412</v>
      </c>
      <c r="B56" s="8" t="s">
        <v>445</v>
      </c>
      <c r="C56" s="8" t="s">
        <v>490</v>
      </c>
      <c r="D56" s="8" t="s">
        <v>484</v>
      </c>
      <c r="E56" s="8" t="s">
        <v>212</v>
      </c>
      <c r="F56" s="8" t="s">
        <v>106</v>
      </c>
      <c r="G56" s="8" t="s">
        <v>143</v>
      </c>
      <c r="H56" s="9">
        <v>300</v>
      </c>
      <c r="I56" s="9">
        <v>850</v>
      </c>
      <c r="J56" s="8" t="s">
        <v>163</v>
      </c>
      <c r="K56" s="8" t="s">
        <v>453</v>
      </c>
      <c r="L56" s="9">
        <v>2020</v>
      </c>
    </row>
    <row r="57" spans="1:12" ht="15.75" customHeight="1" x14ac:dyDescent="0.25">
      <c r="A57" s="10" t="s">
        <v>412</v>
      </c>
      <c r="B57" s="10" t="s">
        <v>445</v>
      </c>
      <c r="C57" s="10" t="s">
        <v>495</v>
      </c>
      <c r="D57" s="10" t="s">
        <v>484</v>
      </c>
      <c r="E57" s="10" t="s">
        <v>212</v>
      </c>
      <c r="F57" s="10" t="s">
        <v>106</v>
      </c>
      <c r="G57" s="10" t="s">
        <v>143</v>
      </c>
      <c r="H57" s="11">
        <v>335</v>
      </c>
      <c r="I57" s="11">
        <v>850</v>
      </c>
      <c r="J57" s="10" t="s">
        <v>497</v>
      </c>
      <c r="K57" s="10" t="s">
        <v>453</v>
      </c>
      <c r="L57" s="11">
        <v>2022</v>
      </c>
    </row>
    <row r="58" spans="1:12" ht="15.75" customHeight="1" x14ac:dyDescent="0.25">
      <c r="A58" s="8" t="s">
        <v>412</v>
      </c>
      <c r="B58" s="8" t="s">
        <v>499</v>
      </c>
      <c r="C58" s="8" t="s">
        <v>500</v>
      </c>
      <c r="D58" s="8" t="s">
        <v>501</v>
      </c>
      <c r="E58" s="8" t="s">
        <v>142</v>
      </c>
      <c r="F58" s="8" t="s">
        <v>106</v>
      </c>
      <c r="G58" s="8" t="s">
        <v>91</v>
      </c>
      <c r="H58" s="9">
        <v>165</v>
      </c>
      <c r="I58" s="9">
        <v>550</v>
      </c>
      <c r="J58" s="8" t="s">
        <v>118</v>
      </c>
      <c r="K58" s="8" t="s">
        <v>504</v>
      </c>
      <c r="L58" s="9">
        <v>2023</v>
      </c>
    </row>
    <row r="59" spans="1:12" ht="15.75" customHeight="1" x14ac:dyDescent="0.25">
      <c r="A59" s="10" t="s">
        <v>412</v>
      </c>
      <c r="B59" s="10" t="s">
        <v>499</v>
      </c>
      <c r="C59" s="10" t="s">
        <v>506</v>
      </c>
      <c r="D59" s="10" t="s">
        <v>501</v>
      </c>
      <c r="E59" s="10" t="s">
        <v>212</v>
      </c>
      <c r="F59" s="10" t="s">
        <v>106</v>
      </c>
      <c r="G59" s="10" t="s">
        <v>91</v>
      </c>
      <c r="H59" s="11">
        <v>190</v>
      </c>
      <c r="I59" s="11">
        <v>600</v>
      </c>
      <c r="J59" s="10" t="s">
        <v>163</v>
      </c>
      <c r="K59" s="10" t="s">
        <v>504</v>
      </c>
      <c r="L59" s="11">
        <v>2024</v>
      </c>
    </row>
    <row r="60" spans="1:12" ht="15.75" customHeight="1" x14ac:dyDescent="0.25">
      <c r="A60" s="8" t="s">
        <v>412</v>
      </c>
      <c r="B60" s="8" t="s">
        <v>499</v>
      </c>
      <c r="C60" s="8" t="s">
        <v>509</v>
      </c>
      <c r="D60" s="8" t="s">
        <v>510</v>
      </c>
      <c r="E60" s="8" t="s">
        <v>136</v>
      </c>
      <c r="F60" s="8" t="s">
        <v>106</v>
      </c>
      <c r="G60" s="8" t="s">
        <v>115</v>
      </c>
      <c r="H60" s="9">
        <v>245</v>
      </c>
      <c r="I60" s="9">
        <v>700</v>
      </c>
      <c r="J60" s="8" t="s">
        <v>163</v>
      </c>
      <c r="K60" s="8" t="s">
        <v>504</v>
      </c>
      <c r="L60" s="9">
        <v>2023</v>
      </c>
    </row>
    <row r="61" spans="1:12" ht="15.75" customHeight="1" x14ac:dyDescent="0.25">
      <c r="A61" s="10" t="s">
        <v>412</v>
      </c>
      <c r="B61" s="10" t="s">
        <v>499</v>
      </c>
      <c r="C61" s="10" t="s">
        <v>513</v>
      </c>
      <c r="D61" s="10" t="s">
        <v>510</v>
      </c>
      <c r="E61" s="10" t="s">
        <v>212</v>
      </c>
      <c r="F61" s="10" t="s">
        <v>106</v>
      </c>
      <c r="G61" s="10" t="s">
        <v>143</v>
      </c>
      <c r="H61" s="11">
        <v>263</v>
      </c>
      <c r="I61" s="11">
        <v>700</v>
      </c>
      <c r="J61" s="10" t="s">
        <v>163</v>
      </c>
      <c r="K61" s="10" t="s">
        <v>504</v>
      </c>
      <c r="L61" s="11">
        <v>2023</v>
      </c>
    </row>
    <row r="62" spans="1:12" ht="15.75" customHeight="1" x14ac:dyDescent="0.25">
      <c r="A62" s="8" t="s">
        <v>412</v>
      </c>
      <c r="B62" s="8" t="s">
        <v>499</v>
      </c>
      <c r="C62" s="8" t="s">
        <v>517</v>
      </c>
      <c r="D62" s="8" t="s">
        <v>518</v>
      </c>
      <c r="E62" s="8" t="s">
        <v>212</v>
      </c>
      <c r="F62" s="8" t="s">
        <v>106</v>
      </c>
      <c r="G62" s="8" t="s">
        <v>143</v>
      </c>
      <c r="H62" s="9">
        <v>260</v>
      </c>
      <c r="I62" s="9">
        <v>700</v>
      </c>
      <c r="J62" s="8" t="s">
        <v>163</v>
      </c>
      <c r="K62" s="8" t="s">
        <v>504</v>
      </c>
      <c r="L62" s="9">
        <v>2023</v>
      </c>
    </row>
    <row r="63" spans="1:12" ht="15.75" customHeight="1" x14ac:dyDescent="0.25">
      <c r="A63" s="10" t="s">
        <v>412</v>
      </c>
      <c r="B63" s="10" t="s">
        <v>499</v>
      </c>
      <c r="C63" s="10" t="s">
        <v>520</v>
      </c>
      <c r="D63" s="10" t="s">
        <v>518</v>
      </c>
      <c r="E63" s="10" t="s">
        <v>521</v>
      </c>
      <c r="F63" s="10" t="s">
        <v>106</v>
      </c>
      <c r="G63" s="10" t="s">
        <v>242</v>
      </c>
      <c r="H63" s="11">
        <v>315</v>
      </c>
      <c r="I63" s="11">
        <v>800</v>
      </c>
      <c r="J63" s="10" t="s">
        <v>163</v>
      </c>
      <c r="K63" s="10" t="s">
        <v>504</v>
      </c>
      <c r="L63" s="11">
        <v>2022</v>
      </c>
    </row>
    <row r="64" spans="1:12" ht="15.75" customHeight="1" x14ac:dyDescent="0.25">
      <c r="A64" s="8" t="s">
        <v>412</v>
      </c>
      <c r="B64" s="8" t="s">
        <v>499</v>
      </c>
      <c r="C64" s="8" t="s">
        <v>527</v>
      </c>
      <c r="D64" s="8" t="s">
        <v>518</v>
      </c>
      <c r="E64" s="8" t="s">
        <v>263</v>
      </c>
      <c r="F64" s="8" t="s">
        <v>106</v>
      </c>
      <c r="G64" s="8" t="s">
        <v>253</v>
      </c>
      <c r="H64" s="9">
        <v>355</v>
      </c>
      <c r="I64" s="9">
        <v>850</v>
      </c>
      <c r="J64" s="8" t="s">
        <v>497</v>
      </c>
      <c r="K64" s="8" t="s">
        <v>504</v>
      </c>
      <c r="L64" s="9">
        <v>2022</v>
      </c>
    </row>
    <row r="65" spans="1:12" ht="15.75" customHeight="1" x14ac:dyDescent="0.25">
      <c r="A65" s="10" t="s">
        <v>412</v>
      </c>
      <c r="B65" s="10" t="s">
        <v>531</v>
      </c>
      <c r="C65" s="10" t="s">
        <v>533</v>
      </c>
      <c r="D65" s="10" t="s">
        <v>535</v>
      </c>
      <c r="E65" s="10" t="s">
        <v>142</v>
      </c>
      <c r="F65" s="10" t="s">
        <v>106</v>
      </c>
      <c r="G65" s="10" t="s">
        <v>91</v>
      </c>
      <c r="H65" s="11">
        <v>150</v>
      </c>
      <c r="I65" s="11">
        <v>500</v>
      </c>
      <c r="J65" s="10" t="s">
        <v>118</v>
      </c>
      <c r="K65" s="10" t="s">
        <v>504</v>
      </c>
      <c r="L65" s="11">
        <v>2025</v>
      </c>
    </row>
    <row r="66" spans="1:12" ht="15.75" customHeight="1" x14ac:dyDescent="0.25">
      <c r="A66" s="8" t="s">
        <v>412</v>
      </c>
      <c r="B66" s="8" t="s">
        <v>531</v>
      </c>
      <c r="C66" s="8" t="s">
        <v>537</v>
      </c>
      <c r="D66" s="8" t="s">
        <v>535</v>
      </c>
      <c r="E66" s="8" t="s">
        <v>212</v>
      </c>
      <c r="F66" s="8" t="s">
        <v>106</v>
      </c>
      <c r="G66" s="8" t="s">
        <v>91</v>
      </c>
      <c r="H66" s="9">
        <v>160</v>
      </c>
      <c r="I66" s="9">
        <v>550</v>
      </c>
      <c r="J66" s="8" t="s">
        <v>118</v>
      </c>
      <c r="K66" s="8" t="s">
        <v>504</v>
      </c>
      <c r="L66" s="9">
        <v>2025</v>
      </c>
    </row>
    <row r="67" spans="1:12" ht="15.75" customHeight="1" x14ac:dyDescent="0.25">
      <c r="A67" s="10" t="s">
        <v>412</v>
      </c>
      <c r="B67" s="10" t="s">
        <v>531</v>
      </c>
      <c r="C67" s="10" t="s">
        <v>540</v>
      </c>
      <c r="D67" s="10" t="s">
        <v>542</v>
      </c>
      <c r="E67" s="10" t="s">
        <v>212</v>
      </c>
      <c r="F67" s="10" t="s">
        <v>106</v>
      </c>
      <c r="G67" s="10" t="s">
        <v>143</v>
      </c>
      <c r="H67" s="11">
        <v>220</v>
      </c>
      <c r="I67" s="11">
        <v>650</v>
      </c>
      <c r="J67" s="10" t="s">
        <v>163</v>
      </c>
      <c r="K67" s="10" t="s">
        <v>504</v>
      </c>
      <c r="L67" s="11">
        <v>2025</v>
      </c>
    </row>
    <row r="68" spans="1:12" ht="15.75" customHeight="1" x14ac:dyDescent="0.25">
      <c r="A68" s="8" t="s">
        <v>412</v>
      </c>
      <c r="B68" s="8" t="s">
        <v>531</v>
      </c>
      <c r="C68" s="8" t="s">
        <v>546</v>
      </c>
      <c r="D68" s="8" t="s">
        <v>542</v>
      </c>
      <c r="E68" s="8" t="s">
        <v>212</v>
      </c>
      <c r="F68" s="8" t="s">
        <v>106</v>
      </c>
      <c r="G68" s="8" t="s">
        <v>143</v>
      </c>
      <c r="H68" s="9">
        <v>304</v>
      </c>
      <c r="I68" s="9">
        <v>750</v>
      </c>
      <c r="J68" s="8" t="s">
        <v>497</v>
      </c>
      <c r="K68" s="8" t="s">
        <v>504</v>
      </c>
      <c r="L68" s="9">
        <v>2025</v>
      </c>
    </row>
    <row r="69" spans="1:12" ht="15.75" customHeight="1" x14ac:dyDescent="0.25">
      <c r="A69" s="10" t="s">
        <v>17</v>
      </c>
      <c r="B69" s="10" t="s">
        <v>548</v>
      </c>
      <c r="C69" s="10" t="s">
        <v>549</v>
      </c>
      <c r="D69" s="10" t="s">
        <v>550</v>
      </c>
      <c r="E69" s="10" t="s">
        <v>85</v>
      </c>
      <c r="F69" s="10" t="s">
        <v>106</v>
      </c>
      <c r="G69" s="10" t="s">
        <v>452</v>
      </c>
      <c r="H69" s="11">
        <v>75</v>
      </c>
      <c r="I69" s="11">
        <v>300</v>
      </c>
      <c r="J69" s="10" t="s">
        <v>97</v>
      </c>
      <c r="K69" s="10" t="s">
        <v>556</v>
      </c>
      <c r="L69" s="11">
        <v>2022</v>
      </c>
    </row>
    <row r="70" spans="1:12" ht="15.75" customHeight="1" x14ac:dyDescent="0.25">
      <c r="A70" s="8" t="s">
        <v>17</v>
      </c>
      <c r="B70" s="8" t="s">
        <v>548</v>
      </c>
      <c r="C70" s="8" t="s">
        <v>557</v>
      </c>
      <c r="D70" s="8" t="s">
        <v>550</v>
      </c>
      <c r="E70" s="8" t="s">
        <v>113</v>
      </c>
      <c r="F70" s="8" t="s">
        <v>106</v>
      </c>
      <c r="G70" s="8" t="s">
        <v>188</v>
      </c>
      <c r="H70" s="9">
        <v>75</v>
      </c>
      <c r="I70" s="9">
        <v>350</v>
      </c>
      <c r="J70" s="8" t="s">
        <v>118</v>
      </c>
      <c r="K70" s="8" t="s">
        <v>561</v>
      </c>
      <c r="L70" s="9">
        <v>2022</v>
      </c>
    </row>
    <row r="71" spans="1:12" ht="15.75" customHeight="1" x14ac:dyDescent="0.25">
      <c r="A71" s="10" t="s">
        <v>17</v>
      </c>
      <c r="B71" s="10" t="s">
        <v>548</v>
      </c>
      <c r="C71" s="10" t="s">
        <v>563</v>
      </c>
      <c r="D71" s="10" t="s">
        <v>564</v>
      </c>
      <c r="E71" s="10" t="s">
        <v>142</v>
      </c>
      <c r="F71" s="10" t="s">
        <v>106</v>
      </c>
      <c r="G71" s="10" t="s">
        <v>143</v>
      </c>
      <c r="H71" s="11">
        <v>175</v>
      </c>
      <c r="I71" s="11">
        <v>550</v>
      </c>
      <c r="J71" s="10" t="s">
        <v>163</v>
      </c>
      <c r="K71" s="10" t="s">
        <v>556</v>
      </c>
      <c r="L71" s="11">
        <v>2023</v>
      </c>
    </row>
    <row r="72" spans="1:12" ht="15.75" customHeight="1" x14ac:dyDescent="0.25">
      <c r="A72" s="8" t="s">
        <v>17</v>
      </c>
      <c r="B72" s="8" t="s">
        <v>548</v>
      </c>
      <c r="C72" s="8" t="s">
        <v>567</v>
      </c>
      <c r="D72" s="8" t="s">
        <v>564</v>
      </c>
      <c r="E72" s="8" t="s">
        <v>142</v>
      </c>
      <c r="F72" s="8" t="s">
        <v>106</v>
      </c>
      <c r="G72" s="8" t="s">
        <v>143</v>
      </c>
      <c r="H72" s="9">
        <v>225</v>
      </c>
      <c r="I72" s="9">
        <v>600</v>
      </c>
      <c r="J72" s="8" t="s">
        <v>157</v>
      </c>
      <c r="K72" s="8" t="s">
        <v>570</v>
      </c>
      <c r="L72" s="9">
        <v>2022</v>
      </c>
    </row>
    <row r="73" spans="1:12" ht="15.75" customHeight="1" x14ac:dyDescent="0.25">
      <c r="A73" s="10" t="s">
        <v>17</v>
      </c>
      <c r="B73" s="10" t="s">
        <v>548</v>
      </c>
      <c r="C73" s="10" t="s">
        <v>572</v>
      </c>
      <c r="D73" s="10" t="s">
        <v>564</v>
      </c>
      <c r="E73" s="10" t="s">
        <v>142</v>
      </c>
      <c r="F73" s="10" t="s">
        <v>106</v>
      </c>
      <c r="G73" s="10" t="s">
        <v>143</v>
      </c>
      <c r="H73" s="11">
        <v>225</v>
      </c>
      <c r="I73" s="11">
        <v>600</v>
      </c>
      <c r="J73" s="10" t="s">
        <v>157</v>
      </c>
      <c r="K73" s="10" t="s">
        <v>573</v>
      </c>
      <c r="L73" s="11">
        <v>2022</v>
      </c>
    </row>
    <row r="74" spans="1:12" ht="15.75" customHeight="1" x14ac:dyDescent="0.25">
      <c r="A74" s="8" t="s">
        <v>17</v>
      </c>
      <c r="B74" s="8" t="s">
        <v>548</v>
      </c>
      <c r="C74" s="8" t="s">
        <v>576</v>
      </c>
      <c r="D74" s="8" t="s">
        <v>564</v>
      </c>
      <c r="E74" s="8" t="s">
        <v>212</v>
      </c>
      <c r="F74" s="8" t="s">
        <v>106</v>
      </c>
      <c r="G74" s="8" t="s">
        <v>143</v>
      </c>
      <c r="H74" s="9">
        <v>225</v>
      </c>
      <c r="I74" s="9">
        <v>600</v>
      </c>
      <c r="J74" s="8" t="s">
        <v>157</v>
      </c>
      <c r="K74" s="8" t="s">
        <v>570</v>
      </c>
      <c r="L74" s="9">
        <v>2022</v>
      </c>
    </row>
    <row r="75" spans="1:12" ht="15.75" customHeight="1" x14ac:dyDescent="0.25">
      <c r="A75" s="10" t="s">
        <v>17</v>
      </c>
      <c r="B75" s="10" t="s">
        <v>577</v>
      </c>
      <c r="C75" s="10" t="s">
        <v>579</v>
      </c>
      <c r="D75" s="10" t="s">
        <v>580</v>
      </c>
      <c r="E75" s="10" t="s">
        <v>240</v>
      </c>
      <c r="F75" s="10" t="s">
        <v>106</v>
      </c>
      <c r="G75" s="10" t="s">
        <v>582</v>
      </c>
      <c r="H75" s="11">
        <v>150</v>
      </c>
      <c r="I75" s="11">
        <v>550</v>
      </c>
      <c r="J75" s="10" t="s">
        <v>118</v>
      </c>
      <c r="K75" s="10" t="s">
        <v>573</v>
      </c>
      <c r="L75" s="11">
        <v>2025</v>
      </c>
    </row>
    <row r="76" spans="1:12" ht="15.75" customHeight="1" x14ac:dyDescent="0.25">
      <c r="A76" s="8" t="s">
        <v>17</v>
      </c>
      <c r="B76" s="8" t="s">
        <v>577</v>
      </c>
      <c r="C76" s="8" t="s">
        <v>584</v>
      </c>
      <c r="D76" s="8" t="s">
        <v>580</v>
      </c>
      <c r="E76" s="8" t="s">
        <v>136</v>
      </c>
      <c r="F76" s="8" t="s">
        <v>106</v>
      </c>
      <c r="G76" s="8" t="s">
        <v>115</v>
      </c>
      <c r="H76" s="9">
        <v>190</v>
      </c>
      <c r="I76" s="9">
        <v>600</v>
      </c>
      <c r="J76" s="8" t="s">
        <v>118</v>
      </c>
      <c r="K76" s="8" t="s">
        <v>592</v>
      </c>
      <c r="L76" s="9">
        <v>2024</v>
      </c>
    </row>
    <row r="77" spans="1:12" ht="15.75" customHeight="1" x14ac:dyDescent="0.25"/>
    <row r="78" spans="1:12" ht="15.75" customHeight="1" x14ac:dyDescent="0.25"/>
    <row r="79" spans="1:12" ht="15.75" customHeight="1" x14ac:dyDescent="0.25"/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76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1" customWidth="1"/>
    <col min="2" max="2" width="34" customWidth="1"/>
    <col min="3" max="4" width="10" customWidth="1"/>
    <col min="5" max="5" width="27" customWidth="1"/>
    <col min="6" max="7" width="14" customWidth="1"/>
    <col min="8" max="8" width="12" customWidth="1"/>
    <col min="9" max="9" width="10" customWidth="1"/>
    <col min="10" max="10" width="12" customWidth="1"/>
    <col min="11" max="11" width="22" customWidth="1"/>
    <col min="12" max="12" width="43" customWidth="1"/>
    <col min="13" max="26" width="8.7109375" customWidth="1"/>
  </cols>
  <sheetData>
    <row r="1" spans="1:12" ht="31.5" customHeight="1" x14ac:dyDescent="0.25">
      <c r="A1" s="2" t="s">
        <v>1</v>
      </c>
      <c r="B1" s="2" t="s">
        <v>4</v>
      </c>
      <c r="C1" s="2" t="s">
        <v>38</v>
      </c>
      <c r="D1" s="2" t="s">
        <v>6</v>
      </c>
      <c r="E1" s="2" t="s">
        <v>43</v>
      </c>
      <c r="F1" s="2" t="s">
        <v>47</v>
      </c>
      <c r="G1" s="2" t="s">
        <v>48</v>
      </c>
      <c r="H1" s="2" t="s">
        <v>52</v>
      </c>
      <c r="I1" s="2" t="s">
        <v>56</v>
      </c>
      <c r="J1" s="2" t="s">
        <v>59</v>
      </c>
      <c r="K1" s="2" t="s">
        <v>64</v>
      </c>
      <c r="L1" s="2" t="s">
        <v>67</v>
      </c>
    </row>
    <row r="2" spans="1:12" x14ac:dyDescent="0.25">
      <c r="A2" s="8" t="s">
        <v>72</v>
      </c>
      <c r="B2" s="8" t="s">
        <v>78</v>
      </c>
      <c r="C2" s="8" t="s">
        <v>81</v>
      </c>
      <c r="D2" s="8" t="s">
        <v>27</v>
      </c>
      <c r="E2" s="8" t="s">
        <v>89</v>
      </c>
      <c r="F2" s="8" t="s">
        <v>92</v>
      </c>
      <c r="G2" s="8" t="s">
        <v>94</v>
      </c>
      <c r="H2" s="9">
        <v>2</v>
      </c>
      <c r="I2" s="8" t="s">
        <v>96</v>
      </c>
      <c r="J2" s="9">
        <v>1</v>
      </c>
      <c r="K2" s="8" t="s">
        <v>99</v>
      </c>
      <c r="L2" s="8" t="s">
        <v>100</v>
      </c>
    </row>
    <row r="3" spans="1:12" x14ac:dyDescent="0.25">
      <c r="A3" s="10" t="s">
        <v>72</v>
      </c>
      <c r="B3" s="10" t="s">
        <v>102</v>
      </c>
      <c r="C3" s="10" t="s">
        <v>104</v>
      </c>
      <c r="D3" s="10" t="s">
        <v>27</v>
      </c>
      <c r="E3" s="10" t="s">
        <v>89</v>
      </c>
      <c r="F3" s="10" t="s">
        <v>92</v>
      </c>
      <c r="G3" s="10" t="s">
        <v>94</v>
      </c>
      <c r="H3" s="11">
        <v>4</v>
      </c>
      <c r="I3" s="10" t="s">
        <v>110</v>
      </c>
      <c r="J3" s="11">
        <v>2</v>
      </c>
      <c r="K3" s="10" t="s">
        <v>99</v>
      </c>
      <c r="L3" s="10" t="s">
        <v>112</v>
      </c>
    </row>
    <row r="4" spans="1:12" x14ac:dyDescent="0.25">
      <c r="A4" s="8" t="s">
        <v>72</v>
      </c>
      <c r="B4" s="8" t="s">
        <v>116</v>
      </c>
      <c r="C4" s="8" t="s">
        <v>117</v>
      </c>
      <c r="D4" s="8" t="s">
        <v>27</v>
      </c>
      <c r="E4" s="8" t="s">
        <v>89</v>
      </c>
      <c r="F4" s="8" t="s">
        <v>119</v>
      </c>
      <c r="G4" s="8" t="s">
        <v>94</v>
      </c>
      <c r="H4" s="9">
        <v>4</v>
      </c>
      <c r="I4" s="8" t="s">
        <v>110</v>
      </c>
      <c r="J4" s="9">
        <v>3</v>
      </c>
      <c r="K4" s="8" t="s">
        <v>99</v>
      </c>
      <c r="L4" s="8" t="s">
        <v>122</v>
      </c>
    </row>
    <row r="5" spans="1:12" x14ac:dyDescent="0.25">
      <c r="A5" s="10" t="s">
        <v>123</v>
      </c>
      <c r="B5" s="10" t="s">
        <v>124</v>
      </c>
      <c r="C5" s="10" t="s">
        <v>81</v>
      </c>
      <c r="D5" s="10" t="s">
        <v>27</v>
      </c>
      <c r="E5" s="10" t="s">
        <v>89</v>
      </c>
      <c r="F5" s="10" t="s">
        <v>92</v>
      </c>
      <c r="G5" s="10" t="s">
        <v>94</v>
      </c>
      <c r="H5" s="11">
        <v>2</v>
      </c>
      <c r="I5" s="10" t="s">
        <v>96</v>
      </c>
      <c r="J5" s="11">
        <v>1</v>
      </c>
      <c r="K5" s="10" t="s">
        <v>99</v>
      </c>
      <c r="L5" s="10" t="s">
        <v>131</v>
      </c>
    </row>
    <row r="6" spans="1:12" x14ac:dyDescent="0.25">
      <c r="A6" s="8" t="s">
        <v>123</v>
      </c>
      <c r="B6" s="8" t="s">
        <v>133</v>
      </c>
      <c r="C6" s="8" t="s">
        <v>104</v>
      </c>
      <c r="D6" s="8" t="s">
        <v>27</v>
      </c>
      <c r="E6" s="8" t="s">
        <v>89</v>
      </c>
      <c r="F6" s="8" t="s">
        <v>92</v>
      </c>
      <c r="G6" s="8" t="s">
        <v>94</v>
      </c>
      <c r="H6" s="9">
        <v>4</v>
      </c>
      <c r="I6" s="8" t="s">
        <v>110</v>
      </c>
      <c r="J6" s="9">
        <v>2</v>
      </c>
      <c r="K6" s="8" t="s">
        <v>99</v>
      </c>
      <c r="L6" s="8" t="s">
        <v>137</v>
      </c>
    </row>
    <row r="7" spans="1:12" x14ac:dyDescent="0.25">
      <c r="A7" s="10" t="s">
        <v>123</v>
      </c>
      <c r="B7" s="10" t="s">
        <v>139</v>
      </c>
      <c r="C7" s="10" t="s">
        <v>141</v>
      </c>
      <c r="D7" s="10" t="s">
        <v>27</v>
      </c>
      <c r="E7" s="10" t="s">
        <v>89</v>
      </c>
      <c r="F7" s="10" t="s">
        <v>119</v>
      </c>
      <c r="G7" s="10" t="s">
        <v>94</v>
      </c>
      <c r="H7" s="11">
        <v>4</v>
      </c>
      <c r="I7" s="10" t="s">
        <v>110</v>
      </c>
      <c r="J7" s="11">
        <v>2</v>
      </c>
      <c r="K7" s="10" t="s">
        <v>144</v>
      </c>
      <c r="L7" s="10" t="s">
        <v>145</v>
      </c>
    </row>
    <row r="8" spans="1:12" x14ac:dyDescent="0.25">
      <c r="A8" s="8" t="s">
        <v>148</v>
      </c>
      <c r="B8" s="8" t="s">
        <v>149</v>
      </c>
      <c r="C8" s="8" t="s">
        <v>150</v>
      </c>
      <c r="D8" s="8" t="s">
        <v>27</v>
      </c>
      <c r="E8" s="8" t="s">
        <v>151</v>
      </c>
      <c r="F8" s="8" t="s">
        <v>92</v>
      </c>
      <c r="G8" s="8" t="s">
        <v>94</v>
      </c>
      <c r="H8" s="9">
        <v>2</v>
      </c>
      <c r="I8" s="8" t="s">
        <v>96</v>
      </c>
      <c r="J8" s="9">
        <v>1</v>
      </c>
      <c r="K8" s="8" t="s">
        <v>144</v>
      </c>
      <c r="L8" s="8" t="s">
        <v>154</v>
      </c>
    </row>
    <row r="9" spans="1:12" x14ac:dyDescent="0.25">
      <c r="A9" s="10" t="s">
        <v>148</v>
      </c>
      <c r="B9" s="10" t="s">
        <v>156</v>
      </c>
      <c r="C9" s="10" t="s">
        <v>104</v>
      </c>
      <c r="D9" s="10" t="s">
        <v>27</v>
      </c>
      <c r="E9" s="10" t="s">
        <v>89</v>
      </c>
      <c r="F9" s="10" t="s">
        <v>92</v>
      </c>
      <c r="G9" s="10" t="s">
        <v>94</v>
      </c>
      <c r="H9" s="11">
        <v>4</v>
      </c>
      <c r="I9" s="10" t="s">
        <v>110</v>
      </c>
      <c r="J9" s="11">
        <v>2</v>
      </c>
      <c r="K9" s="10" t="s">
        <v>99</v>
      </c>
      <c r="L9" s="10" t="s">
        <v>159</v>
      </c>
    </row>
    <row r="10" spans="1:12" x14ac:dyDescent="0.25">
      <c r="A10" s="8" t="s">
        <v>148</v>
      </c>
      <c r="B10" s="8" t="s">
        <v>161</v>
      </c>
      <c r="C10" s="8" t="s">
        <v>117</v>
      </c>
      <c r="D10" s="8" t="s">
        <v>27</v>
      </c>
      <c r="E10" s="8" t="s">
        <v>89</v>
      </c>
      <c r="F10" s="8" t="s">
        <v>119</v>
      </c>
      <c r="G10" s="8" t="s">
        <v>94</v>
      </c>
      <c r="H10" s="9">
        <v>4</v>
      </c>
      <c r="I10" s="8" t="s">
        <v>110</v>
      </c>
      <c r="J10" s="9">
        <v>3</v>
      </c>
      <c r="K10" s="8" t="s">
        <v>99</v>
      </c>
      <c r="L10" s="8" t="s">
        <v>165</v>
      </c>
    </row>
    <row r="11" spans="1:12" x14ac:dyDescent="0.25">
      <c r="A11" s="10" t="s">
        <v>169</v>
      </c>
      <c r="B11" s="10" t="s">
        <v>170</v>
      </c>
      <c r="C11" s="10" t="s">
        <v>104</v>
      </c>
      <c r="D11" s="10" t="s">
        <v>27</v>
      </c>
      <c r="E11" s="10" t="s">
        <v>89</v>
      </c>
      <c r="F11" s="10" t="s">
        <v>92</v>
      </c>
      <c r="G11" s="10" t="s">
        <v>94</v>
      </c>
      <c r="H11" s="11">
        <v>2</v>
      </c>
      <c r="I11" s="10" t="s">
        <v>96</v>
      </c>
      <c r="J11" s="11">
        <v>1</v>
      </c>
      <c r="K11" s="10" t="s">
        <v>99</v>
      </c>
      <c r="L11" s="10" t="s">
        <v>176</v>
      </c>
    </row>
    <row r="12" spans="1:12" x14ac:dyDescent="0.25">
      <c r="A12" s="8" t="s">
        <v>72</v>
      </c>
      <c r="B12" s="8" t="s">
        <v>177</v>
      </c>
      <c r="C12" s="8" t="s">
        <v>178</v>
      </c>
      <c r="D12" s="8" t="s">
        <v>179</v>
      </c>
      <c r="E12" s="8" t="s">
        <v>182</v>
      </c>
      <c r="F12" s="8" t="s">
        <v>92</v>
      </c>
      <c r="G12" s="8" t="s">
        <v>94</v>
      </c>
      <c r="H12" s="9">
        <v>2</v>
      </c>
      <c r="I12" s="8" t="s">
        <v>96</v>
      </c>
      <c r="J12" s="9">
        <v>1</v>
      </c>
      <c r="K12" s="8" t="s">
        <v>202</v>
      </c>
      <c r="L12" s="8" t="s">
        <v>205</v>
      </c>
    </row>
    <row r="13" spans="1:12" x14ac:dyDescent="0.25">
      <c r="A13" s="10" t="s">
        <v>72</v>
      </c>
      <c r="B13" s="10" t="s">
        <v>207</v>
      </c>
      <c r="C13" s="10" t="s">
        <v>209</v>
      </c>
      <c r="D13" s="10" t="s">
        <v>179</v>
      </c>
      <c r="E13" s="10" t="s">
        <v>182</v>
      </c>
      <c r="F13" s="10" t="s">
        <v>92</v>
      </c>
      <c r="G13" s="10" t="s">
        <v>94</v>
      </c>
      <c r="H13" s="11">
        <v>4</v>
      </c>
      <c r="I13" s="10" t="s">
        <v>110</v>
      </c>
      <c r="J13" s="11">
        <v>2</v>
      </c>
      <c r="K13" s="10" t="s">
        <v>202</v>
      </c>
      <c r="L13" s="10" t="s">
        <v>218</v>
      </c>
    </row>
    <row r="14" spans="1:12" x14ac:dyDescent="0.25">
      <c r="A14" s="8" t="s">
        <v>72</v>
      </c>
      <c r="B14" s="8" t="s">
        <v>223</v>
      </c>
      <c r="C14" s="8" t="s">
        <v>209</v>
      </c>
      <c r="D14" s="8" t="s">
        <v>179</v>
      </c>
      <c r="E14" s="8" t="s">
        <v>182</v>
      </c>
      <c r="F14" s="8" t="s">
        <v>119</v>
      </c>
      <c r="G14" s="8" t="s">
        <v>226</v>
      </c>
      <c r="H14" s="9">
        <v>4</v>
      </c>
      <c r="I14" s="8" t="s">
        <v>228</v>
      </c>
      <c r="J14" s="9">
        <v>3</v>
      </c>
      <c r="K14" s="8" t="s">
        <v>202</v>
      </c>
      <c r="L14" s="8" t="s">
        <v>232</v>
      </c>
    </row>
    <row r="15" spans="1:12" x14ac:dyDescent="0.25">
      <c r="A15" s="10" t="s">
        <v>72</v>
      </c>
      <c r="B15" s="10" t="s">
        <v>236</v>
      </c>
      <c r="C15" s="10" t="s">
        <v>237</v>
      </c>
      <c r="D15" s="10" t="s">
        <v>179</v>
      </c>
      <c r="E15" s="10" t="s">
        <v>182</v>
      </c>
      <c r="F15" s="10" t="s">
        <v>119</v>
      </c>
      <c r="G15" s="10" t="s">
        <v>94</v>
      </c>
      <c r="H15" s="11">
        <v>4</v>
      </c>
      <c r="I15" s="10" t="s">
        <v>110</v>
      </c>
      <c r="J15" s="11">
        <v>3</v>
      </c>
      <c r="K15" s="10" t="s">
        <v>247</v>
      </c>
      <c r="L15" s="10" t="s">
        <v>248</v>
      </c>
    </row>
    <row r="16" spans="1:12" x14ac:dyDescent="0.25">
      <c r="A16" s="8" t="s">
        <v>72</v>
      </c>
      <c r="B16" s="8" t="s">
        <v>251</v>
      </c>
      <c r="C16" s="8" t="s">
        <v>252</v>
      </c>
      <c r="D16" s="8" t="s">
        <v>179</v>
      </c>
      <c r="E16" s="8" t="s">
        <v>182</v>
      </c>
      <c r="F16" s="8" t="s">
        <v>119</v>
      </c>
      <c r="G16" s="8" t="s">
        <v>226</v>
      </c>
      <c r="H16" s="9">
        <v>4</v>
      </c>
      <c r="I16" s="8" t="s">
        <v>228</v>
      </c>
      <c r="J16" s="9">
        <v>5</v>
      </c>
      <c r="K16" s="8" t="s">
        <v>247</v>
      </c>
      <c r="L16" s="8" t="s">
        <v>258</v>
      </c>
    </row>
    <row r="17" spans="1:12" x14ac:dyDescent="0.25">
      <c r="A17" s="10" t="s">
        <v>72</v>
      </c>
      <c r="B17" s="10" t="s">
        <v>259</v>
      </c>
      <c r="C17" s="10" t="s">
        <v>252</v>
      </c>
      <c r="D17" s="10" t="s">
        <v>179</v>
      </c>
      <c r="E17" s="10" t="s">
        <v>182</v>
      </c>
      <c r="F17" s="10" t="s">
        <v>119</v>
      </c>
      <c r="G17" s="10" t="s">
        <v>226</v>
      </c>
      <c r="H17" s="11">
        <v>4</v>
      </c>
      <c r="I17" s="10" t="s">
        <v>228</v>
      </c>
      <c r="J17" s="11">
        <v>5</v>
      </c>
      <c r="K17" s="10" t="s">
        <v>247</v>
      </c>
      <c r="L17" s="10" t="s">
        <v>266</v>
      </c>
    </row>
    <row r="18" spans="1:12" x14ac:dyDescent="0.25">
      <c r="A18" s="8" t="s">
        <v>123</v>
      </c>
      <c r="B18" s="8" t="s">
        <v>270</v>
      </c>
      <c r="C18" s="8" t="s">
        <v>178</v>
      </c>
      <c r="D18" s="8" t="s">
        <v>179</v>
      </c>
      <c r="E18" s="8" t="s">
        <v>182</v>
      </c>
      <c r="F18" s="8" t="s">
        <v>92</v>
      </c>
      <c r="G18" s="8" t="s">
        <v>94</v>
      </c>
      <c r="H18" s="9">
        <v>2</v>
      </c>
      <c r="I18" s="8" t="s">
        <v>96</v>
      </c>
      <c r="J18" s="9">
        <v>1</v>
      </c>
      <c r="K18" s="8" t="s">
        <v>202</v>
      </c>
      <c r="L18" s="8" t="s">
        <v>279</v>
      </c>
    </row>
    <row r="19" spans="1:12" x14ac:dyDescent="0.25">
      <c r="A19" s="10" t="s">
        <v>123</v>
      </c>
      <c r="B19" s="10" t="s">
        <v>283</v>
      </c>
      <c r="C19" s="10" t="s">
        <v>209</v>
      </c>
      <c r="D19" s="10" t="s">
        <v>179</v>
      </c>
      <c r="E19" s="10" t="s">
        <v>182</v>
      </c>
      <c r="F19" s="10" t="s">
        <v>92</v>
      </c>
      <c r="G19" s="10" t="s">
        <v>94</v>
      </c>
      <c r="H19" s="11">
        <v>4</v>
      </c>
      <c r="I19" s="10" t="s">
        <v>110</v>
      </c>
      <c r="J19" s="11">
        <v>2</v>
      </c>
      <c r="K19" s="10" t="s">
        <v>202</v>
      </c>
      <c r="L19" s="10" t="s">
        <v>291</v>
      </c>
    </row>
    <row r="20" spans="1:12" x14ac:dyDescent="0.25">
      <c r="A20" s="8" t="s">
        <v>123</v>
      </c>
      <c r="B20" s="8" t="s">
        <v>294</v>
      </c>
      <c r="C20" s="8" t="s">
        <v>209</v>
      </c>
      <c r="D20" s="8" t="s">
        <v>179</v>
      </c>
      <c r="E20" s="8" t="s">
        <v>182</v>
      </c>
      <c r="F20" s="8" t="s">
        <v>119</v>
      </c>
      <c r="G20" s="8" t="s">
        <v>226</v>
      </c>
      <c r="H20" s="9">
        <v>4</v>
      </c>
      <c r="I20" s="8" t="s">
        <v>228</v>
      </c>
      <c r="J20" s="9">
        <v>3</v>
      </c>
      <c r="K20" s="8" t="s">
        <v>202</v>
      </c>
      <c r="L20" s="8" t="s">
        <v>300</v>
      </c>
    </row>
    <row r="21" spans="1:12" ht="15.75" customHeight="1" x14ac:dyDescent="0.25">
      <c r="A21" s="10" t="s">
        <v>123</v>
      </c>
      <c r="B21" s="10" t="s">
        <v>305</v>
      </c>
      <c r="C21" s="10" t="s">
        <v>252</v>
      </c>
      <c r="D21" s="10" t="s">
        <v>179</v>
      </c>
      <c r="E21" s="10" t="s">
        <v>182</v>
      </c>
      <c r="F21" s="10" t="s">
        <v>119</v>
      </c>
      <c r="G21" s="10" t="s">
        <v>226</v>
      </c>
      <c r="H21" s="11">
        <v>4</v>
      </c>
      <c r="I21" s="10" t="s">
        <v>228</v>
      </c>
      <c r="J21" s="11">
        <v>4</v>
      </c>
      <c r="K21" s="10" t="s">
        <v>247</v>
      </c>
      <c r="L21" s="10" t="s">
        <v>312</v>
      </c>
    </row>
    <row r="22" spans="1:12" ht="15.75" customHeight="1" x14ac:dyDescent="0.25">
      <c r="A22" s="8" t="s">
        <v>123</v>
      </c>
      <c r="B22" s="8" t="s">
        <v>314</v>
      </c>
      <c r="C22" s="8" t="s">
        <v>252</v>
      </c>
      <c r="D22" s="8" t="s">
        <v>179</v>
      </c>
      <c r="E22" s="8" t="s">
        <v>182</v>
      </c>
      <c r="F22" s="8" t="s">
        <v>324</v>
      </c>
      <c r="G22" s="8" t="s">
        <v>226</v>
      </c>
      <c r="H22" s="9">
        <v>4</v>
      </c>
      <c r="I22" s="8" t="s">
        <v>228</v>
      </c>
      <c r="J22" s="9">
        <v>5</v>
      </c>
      <c r="K22" s="8" t="s">
        <v>247</v>
      </c>
      <c r="L22" s="8" t="s">
        <v>331</v>
      </c>
    </row>
    <row r="23" spans="1:12" ht="15.75" customHeight="1" x14ac:dyDescent="0.25">
      <c r="A23" s="10" t="s">
        <v>148</v>
      </c>
      <c r="B23" s="10" t="s">
        <v>333</v>
      </c>
      <c r="C23" s="10" t="s">
        <v>178</v>
      </c>
      <c r="D23" s="10" t="s">
        <v>179</v>
      </c>
      <c r="E23" s="10" t="s">
        <v>182</v>
      </c>
      <c r="F23" s="10" t="s">
        <v>92</v>
      </c>
      <c r="G23" s="10" t="s">
        <v>94</v>
      </c>
      <c r="H23" s="11">
        <v>2</v>
      </c>
      <c r="I23" s="10" t="s">
        <v>96</v>
      </c>
      <c r="J23" s="11">
        <v>1</v>
      </c>
      <c r="K23" s="10" t="s">
        <v>202</v>
      </c>
      <c r="L23" s="10" t="s">
        <v>341</v>
      </c>
    </row>
    <row r="24" spans="1:12" ht="15.75" customHeight="1" x14ac:dyDescent="0.25">
      <c r="A24" s="8" t="s">
        <v>148</v>
      </c>
      <c r="B24" s="8" t="s">
        <v>344</v>
      </c>
      <c r="C24" s="8" t="s">
        <v>209</v>
      </c>
      <c r="D24" s="8" t="s">
        <v>179</v>
      </c>
      <c r="E24" s="8" t="s">
        <v>182</v>
      </c>
      <c r="F24" s="8" t="s">
        <v>92</v>
      </c>
      <c r="G24" s="8" t="s">
        <v>94</v>
      </c>
      <c r="H24" s="9">
        <v>4</v>
      </c>
      <c r="I24" s="8" t="s">
        <v>110</v>
      </c>
      <c r="J24" s="9">
        <v>2</v>
      </c>
      <c r="K24" s="8" t="s">
        <v>202</v>
      </c>
      <c r="L24" s="8" t="s">
        <v>159</v>
      </c>
    </row>
    <row r="25" spans="1:12" ht="15.75" customHeight="1" x14ac:dyDescent="0.25">
      <c r="A25" s="10" t="s">
        <v>148</v>
      </c>
      <c r="B25" s="10" t="s">
        <v>350</v>
      </c>
      <c r="C25" s="10" t="s">
        <v>209</v>
      </c>
      <c r="D25" s="10" t="s">
        <v>179</v>
      </c>
      <c r="E25" s="10" t="s">
        <v>182</v>
      </c>
      <c r="F25" s="10" t="s">
        <v>119</v>
      </c>
      <c r="G25" s="10" t="s">
        <v>226</v>
      </c>
      <c r="H25" s="11">
        <v>4</v>
      </c>
      <c r="I25" s="10" t="s">
        <v>228</v>
      </c>
      <c r="J25" s="11">
        <v>3</v>
      </c>
      <c r="K25" s="10" t="s">
        <v>202</v>
      </c>
      <c r="L25" s="10" t="s">
        <v>291</v>
      </c>
    </row>
    <row r="26" spans="1:12" ht="15.75" customHeight="1" x14ac:dyDescent="0.25">
      <c r="A26" s="8" t="s">
        <v>148</v>
      </c>
      <c r="B26" s="8" t="s">
        <v>360</v>
      </c>
      <c r="C26" s="8" t="s">
        <v>252</v>
      </c>
      <c r="D26" s="8" t="s">
        <v>179</v>
      </c>
      <c r="E26" s="8" t="s">
        <v>182</v>
      </c>
      <c r="F26" s="8" t="s">
        <v>119</v>
      </c>
      <c r="G26" s="8" t="s">
        <v>226</v>
      </c>
      <c r="H26" s="9">
        <v>4</v>
      </c>
      <c r="I26" s="8" t="s">
        <v>228</v>
      </c>
      <c r="J26" s="9">
        <v>4</v>
      </c>
      <c r="K26" s="8" t="s">
        <v>247</v>
      </c>
      <c r="L26" s="8" t="s">
        <v>312</v>
      </c>
    </row>
    <row r="27" spans="1:12" ht="15.75" customHeight="1" x14ac:dyDescent="0.25">
      <c r="A27" s="10" t="s">
        <v>169</v>
      </c>
      <c r="B27" s="10" t="s">
        <v>366</v>
      </c>
      <c r="C27" s="10" t="s">
        <v>209</v>
      </c>
      <c r="D27" s="10" t="s">
        <v>179</v>
      </c>
      <c r="E27" s="10" t="s">
        <v>182</v>
      </c>
      <c r="F27" s="10" t="s">
        <v>92</v>
      </c>
      <c r="G27" s="10" t="s">
        <v>94</v>
      </c>
      <c r="H27" s="11">
        <v>4</v>
      </c>
      <c r="I27" s="10" t="s">
        <v>110</v>
      </c>
      <c r="J27" s="11">
        <v>2</v>
      </c>
      <c r="K27" s="10" t="s">
        <v>202</v>
      </c>
      <c r="L27" s="10" t="s">
        <v>371</v>
      </c>
    </row>
    <row r="28" spans="1:12" ht="15.75" customHeight="1" x14ac:dyDescent="0.25">
      <c r="A28" s="8" t="s">
        <v>169</v>
      </c>
      <c r="B28" s="8" t="s">
        <v>373</v>
      </c>
      <c r="C28" s="8" t="s">
        <v>252</v>
      </c>
      <c r="D28" s="8" t="s">
        <v>179</v>
      </c>
      <c r="E28" s="8" t="s">
        <v>182</v>
      </c>
      <c r="F28" s="8" t="s">
        <v>119</v>
      </c>
      <c r="G28" s="8" t="s">
        <v>226</v>
      </c>
      <c r="H28" s="9">
        <v>4</v>
      </c>
      <c r="I28" s="8" t="s">
        <v>228</v>
      </c>
      <c r="J28" s="9">
        <v>4</v>
      </c>
      <c r="K28" s="8" t="s">
        <v>247</v>
      </c>
      <c r="L28" s="8" t="s">
        <v>122</v>
      </c>
    </row>
    <row r="29" spans="1:12" ht="15.75" customHeight="1" x14ac:dyDescent="0.25">
      <c r="A29" s="10" t="s">
        <v>72</v>
      </c>
      <c r="B29" s="10" t="s">
        <v>380</v>
      </c>
      <c r="C29" s="10" t="s">
        <v>381</v>
      </c>
      <c r="D29" s="10" t="s">
        <v>384</v>
      </c>
      <c r="E29" s="10" t="s">
        <v>385</v>
      </c>
      <c r="F29" s="10" t="s">
        <v>92</v>
      </c>
      <c r="G29" s="10" t="s">
        <v>226</v>
      </c>
      <c r="H29" s="11">
        <v>4</v>
      </c>
      <c r="I29" s="10" t="s">
        <v>389</v>
      </c>
      <c r="J29" s="11">
        <v>3</v>
      </c>
      <c r="K29" s="10" t="s">
        <v>247</v>
      </c>
      <c r="L29" s="10" t="s">
        <v>391</v>
      </c>
    </row>
    <row r="30" spans="1:12" ht="15.75" customHeight="1" x14ac:dyDescent="0.25">
      <c r="A30" s="8" t="s">
        <v>72</v>
      </c>
      <c r="B30" s="8" t="s">
        <v>393</v>
      </c>
      <c r="C30" s="8" t="s">
        <v>394</v>
      </c>
      <c r="D30" s="8" t="s">
        <v>384</v>
      </c>
      <c r="E30" s="8" t="s">
        <v>385</v>
      </c>
      <c r="F30" s="8" t="s">
        <v>119</v>
      </c>
      <c r="G30" s="8" t="s">
        <v>226</v>
      </c>
      <c r="H30" s="9">
        <v>4</v>
      </c>
      <c r="I30" s="8" t="s">
        <v>389</v>
      </c>
      <c r="J30" s="9">
        <v>4</v>
      </c>
      <c r="K30" s="8" t="s">
        <v>247</v>
      </c>
      <c r="L30" s="8" t="s">
        <v>258</v>
      </c>
    </row>
    <row r="31" spans="1:12" ht="15.75" customHeight="1" x14ac:dyDescent="0.25">
      <c r="A31" s="10" t="s">
        <v>123</v>
      </c>
      <c r="B31" s="10" t="s">
        <v>400</v>
      </c>
      <c r="C31" s="10" t="s">
        <v>381</v>
      </c>
      <c r="D31" s="10" t="s">
        <v>384</v>
      </c>
      <c r="E31" s="10" t="s">
        <v>385</v>
      </c>
      <c r="F31" s="10" t="s">
        <v>92</v>
      </c>
      <c r="G31" s="10" t="s">
        <v>226</v>
      </c>
      <c r="H31" s="11">
        <v>4</v>
      </c>
      <c r="I31" s="10" t="s">
        <v>389</v>
      </c>
      <c r="J31" s="11">
        <v>3</v>
      </c>
      <c r="K31" s="10" t="s">
        <v>247</v>
      </c>
      <c r="L31" s="10" t="s">
        <v>406</v>
      </c>
    </row>
    <row r="32" spans="1:12" ht="15.75" customHeight="1" x14ac:dyDescent="0.25">
      <c r="A32" s="8" t="s">
        <v>123</v>
      </c>
      <c r="B32" s="8" t="s">
        <v>408</v>
      </c>
      <c r="C32" s="8" t="s">
        <v>394</v>
      </c>
      <c r="D32" s="8" t="s">
        <v>384</v>
      </c>
      <c r="E32" s="8" t="s">
        <v>385</v>
      </c>
      <c r="F32" s="8" t="s">
        <v>119</v>
      </c>
      <c r="G32" s="8" t="s">
        <v>226</v>
      </c>
      <c r="H32" s="9">
        <v>4</v>
      </c>
      <c r="I32" s="8" t="s">
        <v>389</v>
      </c>
      <c r="J32" s="9">
        <v>4</v>
      </c>
      <c r="K32" s="8" t="s">
        <v>247</v>
      </c>
      <c r="L32" s="8" t="s">
        <v>417</v>
      </c>
    </row>
    <row r="33" spans="1:12" ht="15.75" customHeight="1" x14ac:dyDescent="0.25">
      <c r="A33" s="10" t="s">
        <v>148</v>
      </c>
      <c r="B33" s="10" t="s">
        <v>419</v>
      </c>
      <c r="C33" s="10" t="s">
        <v>394</v>
      </c>
      <c r="D33" s="10" t="s">
        <v>384</v>
      </c>
      <c r="E33" s="10" t="s">
        <v>385</v>
      </c>
      <c r="F33" s="10" t="s">
        <v>119</v>
      </c>
      <c r="G33" s="10" t="s">
        <v>226</v>
      </c>
      <c r="H33" s="11">
        <v>4</v>
      </c>
      <c r="I33" s="10" t="s">
        <v>389</v>
      </c>
      <c r="J33" s="11">
        <v>4</v>
      </c>
      <c r="K33" s="10" t="s">
        <v>247</v>
      </c>
      <c r="L33" s="10" t="s">
        <v>427</v>
      </c>
    </row>
    <row r="34" spans="1:12" ht="15.75" customHeight="1" x14ac:dyDescent="0.25">
      <c r="A34" s="8" t="s">
        <v>169</v>
      </c>
      <c r="B34" s="8" t="s">
        <v>430</v>
      </c>
      <c r="C34" s="8" t="s">
        <v>381</v>
      </c>
      <c r="D34" s="8" t="s">
        <v>384</v>
      </c>
      <c r="E34" s="8" t="s">
        <v>385</v>
      </c>
      <c r="F34" s="8" t="s">
        <v>92</v>
      </c>
      <c r="G34" s="8" t="s">
        <v>226</v>
      </c>
      <c r="H34" s="9">
        <v>4</v>
      </c>
      <c r="I34" s="8" t="s">
        <v>389</v>
      </c>
      <c r="J34" s="9">
        <v>3</v>
      </c>
      <c r="K34" s="8" t="s">
        <v>247</v>
      </c>
      <c r="L34" s="8" t="s">
        <v>371</v>
      </c>
    </row>
    <row r="35" spans="1:12" ht="15.75" customHeight="1" x14ac:dyDescent="0.25">
      <c r="A35" s="10" t="s">
        <v>72</v>
      </c>
      <c r="B35" s="10" t="s">
        <v>437</v>
      </c>
      <c r="C35" s="10" t="s">
        <v>438</v>
      </c>
      <c r="D35" s="10" t="s">
        <v>440</v>
      </c>
      <c r="E35" s="10" t="s">
        <v>442</v>
      </c>
      <c r="F35" s="10" t="s">
        <v>92</v>
      </c>
      <c r="G35" s="10" t="s">
        <v>94</v>
      </c>
      <c r="H35" s="11">
        <v>2</v>
      </c>
      <c r="I35" s="10" t="s">
        <v>219</v>
      </c>
      <c r="J35" s="11">
        <v>0</v>
      </c>
      <c r="K35" s="10" t="s">
        <v>144</v>
      </c>
      <c r="L35" s="10" t="s">
        <v>444</v>
      </c>
    </row>
    <row r="36" spans="1:12" ht="15.75" customHeight="1" x14ac:dyDescent="0.25">
      <c r="A36" s="8" t="s">
        <v>72</v>
      </c>
      <c r="B36" s="8" t="s">
        <v>448</v>
      </c>
      <c r="C36" s="8" t="s">
        <v>450</v>
      </c>
      <c r="D36" s="8" t="s">
        <v>440</v>
      </c>
      <c r="E36" s="8" t="s">
        <v>442</v>
      </c>
      <c r="F36" s="8" t="s">
        <v>92</v>
      </c>
      <c r="G36" s="8" t="s">
        <v>94</v>
      </c>
      <c r="H36" s="9">
        <v>4</v>
      </c>
      <c r="I36" s="8" t="s">
        <v>110</v>
      </c>
      <c r="J36" s="9">
        <v>1</v>
      </c>
      <c r="K36" s="8" t="s">
        <v>144</v>
      </c>
      <c r="L36" s="8" t="s">
        <v>454</v>
      </c>
    </row>
    <row r="37" spans="1:12" ht="15.75" customHeight="1" x14ac:dyDescent="0.25">
      <c r="A37" s="10" t="s">
        <v>72</v>
      </c>
      <c r="B37" s="10" t="s">
        <v>456</v>
      </c>
      <c r="C37" s="10" t="s">
        <v>457</v>
      </c>
      <c r="D37" s="10" t="s">
        <v>440</v>
      </c>
      <c r="E37" s="10" t="s">
        <v>458</v>
      </c>
      <c r="F37" s="10" t="s">
        <v>92</v>
      </c>
      <c r="G37" s="10" t="s">
        <v>94</v>
      </c>
      <c r="H37" s="11">
        <v>4</v>
      </c>
      <c r="I37" s="10" t="s">
        <v>110</v>
      </c>
      <c r="J37" s="11">
        <v>2</v>
      </c>
      <c r="K37" s="10" t="s">
        <v>202</v>
      </c>
      <c r="L37" s="10" t="s">
        <v>464</v>
      </c>
    </row>
    <row r="38" spans="1:12" ht="15.75" customHeight="1" x14ac:dyDescent="0.25">
      <c r="A38" s="8" t="s">
        <v>72</v>
      </c>
      <c r="B38" s="8" t="s">
        <v>466</v>
      </c>
      <c r="C38" s="8" t="s">
        <v>457</v>
      </c>
      <c r="D38" s="8" t="s">
        <v>440</v>
      </c>
      <c r="E38" s="8" t="s">
        <v>458</v>
      </c>
      <c r="F38" s="8" t="s">
        <v>119</v>
      </c>
      <c r="G38" s="8" t="s">
        <v>94</v>
      </c>
      <c r="H38" s="9">
        <v>4</v>
      </c>
      <c r="I38" s="8" t="s">
        <v>110</v>
      </c>
      <c r="J38" s="9">
        <v>2</v>
      </c>
      <c r="K38" s="8" t="s">
        <v>202</v>
      </c>
      <c r="L38" s="8" t="s">
        <v>469</v>
      </c>
    </row>
    <row r="39" spans="1:12" ht="15.75" customHeight="1" x14ac:dyDescent="0.25">
      <c r="A39" s="10" t="s">
        <v>72</v>
      </c>
      <c r="B39" s="10" t="s">
        <v>470</v>
      </c>
      <c r="C39" s="10" t="s">
        <v>471</v>
      </c>
      <c r="D39" s="10" t="s">
        <v>440</v>
      </c>
      <c r="E39" s="10" t="s">
        <v>458</v>
      </c>
      <c r="F39" s="10" t="s">
        <v>119</v>
      </c>
      <c r="G39" s="10" t="s">
        <v>94</v>
      </c>
      <c r="H39" s="11">
        <v>4</v>
      </c>
      <c r="I39" s="10" t="s">
        <v>110</v>
      </c>
      <c r="J39" s="11">
        <v>2</v>
      </c>
      <c r="K39" s="10" t="s">
        <v>202</v>
      </c>
      <c r="L39" s="10" t="s">
        <v>475</v>
      </c>
    </row>
    <row r="40" spans="1:12" ht="15.75" customHeight="1" x14ac:dyDescent="0.25">
      <c r="A40" s="8" t="s">
        <v>123</v>
      </c>
      <c r="B40" s="8" t="s">
        <v>477</v>
      </c>
      <c r="C40" s="8" t="s">
        <v>438</v>
      </c>
      <c r="D40" s="8" t="s">
        <v>440</v>
      </c>
      <c r="E40" s="8" t="s">
        <v>442</v>
      </c>
      <c r="F40" s="8" t="s">
        <v>92</v>
      </c>
      <c r="G40" s="8" t="s">
        <v>94</v>
      </c>
      <c r="H40" s="9">
        <v>2</v>
      </c>
      <c r="I40" s="8" t="s">
        <v>219</v>
      </c>
      <c r="J40" s="9">
        <v>1</v>
      </c>
      <c r="K40" s="8" t="s">
        <v>144</v>
      </c>
      <c r="L40" s="8" t="s">
        <v>479</v>
      </c>
    </row>
    <row r="41" spans="1:12" ht="15.75" customHeight="1" x14ac:dyDescent="0.25">
      <c r="A41" s="10" t="s">
        <v>123</v>
      </c>
      <c r="B41" s="10" t="s">
        <v>480</v>
      </c>
      <c r="C41" s="10" t="s">
        <v>450</v>
      </c>
      <c r="D41" s="10" t="s">
        <v>440</v>
      </c>
      <c r="E41" s="10" t="s">
        <v>442</v>
      </c>
      <c r="F41" s="10" t="s">
        <v>92</v>
      </c>
      <c r="G41" s="10" t="s">
        <v>94</v>
      </c>
      <c r="H41" s="11">
        <v>2</v>
      </c>
      <c r="I41" s="10" t="s">
        <v>96</v>
      </c>
      <c r="J41" s="11">
        <v>1</v>
      </c>
      <c r="K41" s="10" t="s">
        <v>144</v>
      </c>
      <c r="L41" s="10" t="s">
        <v>483</v>
      </c>
    </row>
    <row r="42" spans="1:12" ht="15.75" customHeight="1" x14ac:dyDescent="0.25">
      <c r="A42" s="8" t="s">
        <v>123</v>
      </c>
      <c r="B42" s="8" t="s">
        <v>485</v>
      </c>
      <c r="C42" s="8" t="s">
        <v>457</v>
      </c>
      <c r="D42" s="8" t="s">
        <v>440</v>
      </c>
      <c r="E42" s="8" t="s">
        <v>458</v>
      </c>
      <c r="F42" s="8" t="s">
        <v>119</v>
      </c>
      <c r="G42" s="8" t="s">
        <v>94</v>
      </c>
      <c r="H42" s="9">
        <v>4</v>
      </c>
      <c r="I42" s="8" t="s">
        <v>110</v>
      </c>
      <c r="J42" s="9">
        <v>2</v>
      </c>
      <c r="K42" s="8" t="s">
        <v>202</v>
      </c>
      <c r="L42" s="8" t="s">
        <v>486</v>
      </c>
    </row>
    <row r="43" spans="1:12" ht="15.75" customHeight="1" x14ac:dyDescent="0.25">
      <c r="A43" s="10" t="s">
        <v>123</v>
      </c>
      <c r="B43" s="10" t="s">
        <v>488</v>
      </c>
      <c r="C43" s="10" t="s">
        <v>471</v>
      </c>
      <c r="D43" s="10" t="s">
        <v>440</v>
      </c>
      <c r="E43" s="10" t="s">
        <v>458</v>
      </c>
      <c r="F43" s="10" t="s">
        <v>119</v>
      </c>
      <c r="G43" s="10" t="s">
        <v>94</v>
      </c>
      <c r="H43" s="11">
        <v>4</v>
      </c>
      <c r="I43" s="10" t="s">
        <v>110</v>
      </c>
      <c r="J43" s="11">
        <v>2</v>
      </c>
      <c r="K43" s="10" t="s">
        <v>202</v>
      </c>
      <c r="L43" s="10" t="s">
        <v>491</v>
      </c>
    </row>
    <row r="44" spans="1:12" ht="15.75" customHeight="1" x14ac:dyDescent="0.25">
      <c r="A44" s="8" t="s">
        <v>148</v>
      </c>
      <c r="B44" s="8" t="s">
        <v>492</v>
      </c>
      <c r="C44" s="8" t="s">
        <v>493</v>
      </c>
      <c r="D44" s="8" t="s">
        <v>440</v>
      </c>
      <c r="E44" s="8" t="s">
        <v>458</v>
      </c>
      <c r="F44" s="8" t="s">
        <v>92</v>
      </c>
      <c r="G44" s="8" t="s">
        <v>94</v>
      </c>
      <c r="H44" s="9">
        <v>2</v>
      </c>
      <c r="I44" s="8" t="s">
        <v>96</v>
      </c>
      <c r="J44" s="9">
        <v>1</v>
      </c>
      <c r="K44" s="8" t="s">
        <v>144</v>
      </c>
      <c r="L44" s="8" t="s">
        <v>496</v>
      </c>
    </row>
    <row r="45" spans="1:12" ht="15.75" customHeight="1" x14ac:dyDescent="0.25">
      <c r="A45" s="10" t="s">
        <v>148</v>
      </c>
      <c r="B45" s="10" t="s">
        <v>498</v>
      </c>
      <c r="C45" s="10" t="s">
        <v>450</v>
      </c>
      <c r="D45" s="10" t="s">
        <v>440</v>
      </c>
      <c r="E45" s="10" t="s">
        <v>442</v>
      </c>
      <c r="F45" s="10" t="s">
        <v>92</v>
      </c>
      <c r="G45" s="10" t="s">
        <v>94</v>
      </c>
      <c r="H45" s="11">
        <v>4</v>
      </c>
      <c r="I45" s="10" t="s">
        <v>110</v>
      </c>
      <c r="J45" s="11">
        <v>1</v>
      </c>
      <c r="K45" s="10" t="s">
        <v>144</v>
      </c>
      <c r="L45" s="10" t="s">
        <v>503</v>
      </c>
    </row>
    <row r="46" spans="1:12" ht="15.75" customHeight="1" x14ac:dyDescent="0.25">
      <c r="A46" s="8" t="s">
        <v>148</v>
      </c>
      <c r="B46" s="8" t="s">
        <v>505</v>
      </c>
      <c r="C46" s="8" t="s">
        <v>457</v>
      </c>
      <c r="D46" s="8" t="s">
        <v>440</v>
      </c>
      <c r="E46" s="8" t="s">
        <v>458</v>
      </c>
      <c r="F46" s="8" t="s">
        <v>92</v>
      </c>
      <c r="G46" s="8" t="s">
        <v>94</v>
      </c>
      <c r="H46" s="9">
        <v>4</v>
      </c>
      <c r="I46" s="8" t="s">
        <v>110</v>
      </c>
      <c r="J46" s="9">
        <v>2</v>
      </c>
      <c r="K46" s="8" t="s">
        <v>202</v>
      </c>
      <c r="L46" s="8" t="s">
        <v>507</v>
      </c>
    </row>
    <row r="47" spans="1:12" ht="15.75" customHeight="1" x14ac:dyDescent="0.25">
      <c r="A47" s="10" t="s">
        <v>148</v>
      </c>
      <c r="B47" s="10" t="s">
        <v>508</v>
      </c>
      <c r="C47" s="10" t="s">
        <v>471</v>
      </c>
      <c r="D47" s="10" t="s">
        <v>440</v>
      </c>
      <c r="E47" s="10" t="s">
        <v>458</v>
      </c>
      <c r="F47" s="10" t="s">
        <v>119</v>
      </c>
      <c r="G47" s="10" t="s">
        <v>94</v>
      </c>
      <c r="H47" s="11">
        <v>4</v>
      </c>
      <c r="I47" s="10" t="s">
        <v>110</v>
      </c>
      <c r="J47" s="11">
        <v>2</v>
      </c>
      <c r="K47" s="10" t="s">
        <v>202</v>
      </c>
      <c r="L47" s="10" t="s">
        <v>145</v>
      </c>
    </row>
    <row r="48" spans="1:12" ht="15.75" customHeight="1" x14ac:dyDescent="0.25">
      <c r="A48" s="8" t="s">
        <v>169</v>
      </c>
      <c r="B48" s="8" t="s">
        <v>512</v>
      </c>
      <c r="C48" s="8" t="s">
        <v>450</v>
      </c>
      <c r="D48" s="8" t="s">
        <v>440</v>
      </c>
      <c r="E48" s="8" t="s">
        <v>442</v>
      </c>
      <c r="F48" s="8" t="s">
        <v>92</v>
      </c>
      <c r="G48" s="8" t="s">
        <v>94</v>
      </c>
      <c r="H48" s="9">
        <v>4</v>
      </c>
      <c r="I48" s="8" t="s">
        <v>110</v>
      </c>
      <c r="J48" s="9">
        <v>2</v>
      </c>
      <c r="K48" s="8" t="s">
        <v>144</v>
      </c>
      <c r="L48" s="8" t="s">
        <v>515</v>
      </c>
    </row>
    <row r="49" spans="1:12" ht="15.75" customHeight="1" x14ac:dyDescent="0.25">
      <c r="A49" s="10" t="s">
        <v>169</v>
      </c>
      <c r="B49" s="10" t="s">
        <v>516</v>
      </c>
      <c r="C49" s="10" t="s">
        <v>457</v>
      </c>
      <c r="D49" s="10" t="s">
        <v>440</v>
      </c>
      <c r="E49" s="10" t="s">
        <v>458</v>
      </c>
      <c r="F49" s="10" t="s">
        <v>92</v>
      </c>
      <c r="G49" s="10" t="s">
        <v>94</v>
      </c>
      <c r="H49" s="11">
        <v>4</v>
      </c>
      <c r="I49" s="10" t="s">
        <v>110</v>
      </c>
      <c r="J49" s="11">
        <v>2</v>
      </c>
      <c r="K49" s="10" t="s">
        <v>202</v>
      </c>
      <c r="L49" s="10" t="s">
        <v>519</v>
      </c>
    </row>
    <row r="50" spans="1:12" ht="15.75" customHeight="1" x14ac:dyDescent="0.25">
      <c r="A50" s="8" t="s">
        <v>72</v>
      </c>
      <c r="B50" s="8" t="s">
        <v>523</v>
      </c>
      <c r="C50" s="8" t="s">
        <v>524</v>
      </c>
      <c r="D50" s="8" t="s">
        <v>525</v>
      </c>
      <c r="E50" s="8" t="s">
        <v>526</v>
      </c>
      <c r="F50" s="8" t="s">
        <v>92</v>
      </c>
      <c r="G50" s="8" t="s">
        <v>226</v>
      </c>
      <c r="H50" s="9">
        <v>2</v>
      </c>
      <c r="I50" s="8" t="s">
        <v>528</v>
      </c>
      <c r="J50" s="9">
        <v>1</v>
      </c>
      <c r="K50" s="8" t="s">
        <v>202</v>
      </c>
      <c r="L50" s="8" t="s">
        <v>529</v>
      </c>
    </row>
    <row r="51" spans="1:12" ht="15.75" customHeight="1" x14ac:dyDescent="0.25">
      <c r="A51" s="10" t="s">
        <v>72</v>
      </c>
      <c r="B51" s="10" t="s">
        <v>532</v>
      </c>
      <c r="C51" s="10" t="s">
        <v>534</v>
      </c>
      <c r="D51" s="10" t="s">
        <v>525</v>
      </c>
      <c r="E51" s="10" t="s">
        <v>526</v>
      </c>
      <c r="F51" s="10" t="s">
        <v>92</v>
      </c>
      <c r="G51" s="10" t="s">
        <v>226</v>
      </c>
      <c r="H51" s="11">
        <v>4</v>
      </c>
      <c r="I51" s="10" t="s">
        <v>228</v>
      </c>
      <c r="J51" s="11">
        <v>2</v>
      </c>
      <c r="K51" s="10" t="s">
        <v>202</v>
      </c>
      <c r="L51" s="10" t="s">
        <v>536</v>
      </c>
    </row>
    <row r="52" spans="1:12" ht="15.75" customHeight="1" x14ac:dyDescent="0.25">
      <c r="A52" s="8" t="s">
        <v>72</v>
      </c>
      <c r="B52" s="8" t="s">
        <v>539</v>
      </c>
      <c r="C52" s="8" t="s">
        <v>534</v>
      </c>
      <c r="D52" s="8" t="s">
        <v>525</v>
      </c>
      <c r="E52" s="8" t="s">
        <v>526</v>
      </c>
      <c r="F52" s="8" t="s">
        <v>119</v>
      </c>
      <c r="G52" s="8" t="s">
        <v>226</v>
      </c>
      <c r="H52" s="9">
        <v>4</v>
      </c>
      <c r="I52" s="8" t="s">
        <v>228</v>
      </c>
      <c r="J52" s="9">
        <v>3</v>
      </c>
      <c r="K52" s="8" t="s">
        <v>202</v>
      </c>
      <c r="L52" s="8" t="s">
        <v>541</v>
      </c>
    </row>
    <row r="53" spans="1:12" ht="15.75" customHeight="1" x14ac:dyDescent="0.25">
      <c r="A53" s="10" t="s">
        <v>72</v>
      </c>
      <c r="B53" s="10" t="s">
        <v>543</v>
      </c>
      <c r="C53" s="10" t="s">
        <v>544</v>
      </c>
      <c r="D53" s="10" t="s">
        <v>525</v>
      </c>
      <c r="E53" s="10" t="s">
        <v>526</v>
      </c>
      <c r="F53" s="10" t="s">
        <v>119</v>
      </c>
      <c r="G53" s="10" t="s">
        <v>226</v>
      </c>
      <c r="H53" s="11">
        <v>4</v>
      </c>
      <c r="I53" s="10" t="s">
        <v>228</v>
      </c>
      <c r="J53" s="11">
        <v>3</v>
      </c>
      <c r="K53" s="10" t="s">
        <v>247</v>
      </c>
      <c r="L53" s="10" t="s">
        <v>547</v>
      </c>
    </row>
    <row r="54" spans="1:12" ht="15.75" customHeight="1" x14ac:dyDescent="0.25">
      <c r="A54" s="8" t="s">
        <v>72</v>
      </c>
      <c r="B54" s="8" t="s">
        <v>551</v>
      </c>
      <c r="C54" s="8" t="s">
        <v>553</v>
      </c>
      <c r="D54" s="8" t="s">
        <v>525</v>
      </c>
      <c r="E54" s="8" t="s">
        <v>526</v>
      </c>
      <c r="F54" s="8" t="s">
        <v>119</v>
      </c>
      <c r="G54" s="8" t="s">
        <v>226</v>
      </c>
      <c r="H54" s="9">
        <v>4</v>
      </c>
      <c r="I54" s="8" t="s">
        <v>228</v>
      </c>
      <c r="J54" s="9">
        <v>4</v>
      </c>
      <c r="K54" s="8" t="s">
        <v>247</v>
      </c>
      <c r="L54" s="8" t="s">
        <v>558</v>
      </c>
    </row>
    <row r="55" spans="1:12" ht="15.75" customHeight="1" x14ac:dyDescent="0.25">
      <c r="A55" s="10" t="s">
        <v>72</v>
      </c>
      <c r="B55" s="10" t="s">
        <v>559</v>
      </c>
      <c r="C55" s="10" t="s">
        <v>560</v>
      </c>
      <c r="D55" s="10" t="s">
        <v>525</v>
      </c>
      <c r="E55" s="10" t="s">
        <v>526</v>
      </c>
      <c r="F55" s="10" t="s">
        <v>119</v>
      </c>
      <c r="G55" s="10" t="s">
        <v>226</v>
      </c>
      <c r="H55" s="11">
        <v>4</v>
      </c>
      <c r="I55" s="10" t="s">
        <v>389</v>
      </c>
      <c r="J55" s="11">
        <v>5</v>
      </c>
      <c r="K55" s="10" t="s">
        <v>247</v>
      </c>
      <c r="L55" s="10" t="s">
        <v>565</v>
      </c>
    </row>
    <row r="56" spans="1:12" ht="15.75" customHeight="1" x14ac:dyDescent="0.25">
      <c r="A56" s="8" t="s">
        <v>123</v>
      </c>
      <c r="B56" s="8" t="s">
        <v>566</v>
      </c>
      <c r="C56" s="8" t="s">
        <v>524</v>
      </c>
      <c r="D56" s="8" t="s">
        <v>525</v>
      </c>
      <c r="E56" s="8" t="s">
        <v>526</v>
      </c>
      <c r="F56" s="8" t="s">
        <v>92</v>
      </c>
      <c r="G56" s="8" t="s">
        <v>226</v>
      </c>
      <c r="H56" s="9">
        <v>2</v>
      </c>
      <c r="I56" s="8" t="s">
        <v>528</v>
      </c>
      <c r="J56" s="9">
        <v>1</v>
      </c>
      <c r="K56" s="8" t="s">
        <v>202</v>
      </c>
      <c r="L56" s="8" t="s">
        <v>569</v>
      </c>
    </row>
    <row r="57" spans="1:12" ht="15.75" customHeight="1" x14ac:dyDescent="0.25">
      <c r="A57" s="10" t="s">
        <v>123</v>
      </c>
      <c r="B57" s="10" t="s">
        <v>571</v>
      </c>
      <c r="C57" s="10" t="s">
        <v>534</v>
      </c>
      <c r="D57" s="10" t="s">
        <v>525</v>
      </c>
      <c r="E57" s="10" t="s">
        <v>526</v>
      </c>
      <c r="F57" s="10" t="s">
        <v>92</v>
      </c>
      <c r="G57" s="10" t="s">
        <v>226</v>
      </c>
      <c r="H57" s="11">
        <v>4</v>
      </c>
      <c r="I57" s="10" t="s">
        <v>228</v>
      </c>
      <c r="J57" s="11">
        <v>2</v>
      </c>
      <c r="K57" s="10" t="s">
        <v>202</v>
      </c>
      <c r="L57" s="10" t="s">
        <v>291</v>
      </c>
    </row>
    <row r="58" spans="1:12" ht="15.75" customHeight="1" x14ac:dyDescent="0.25">
      <c r="A58" s="8" t="s">
        <v>123</v>
      </c>
      <c r="B58" s="8" t="s">
        <v>575</v>
      </c>
      <c r="C58" s="8" t="s">
        <v>534</v>
      </c>
      <c r="D58" s="8" t="s">
        <v>525</v>
      </c>
      <c r="E58" s="8" t="s">
        <v>526</v>
      </c>
      <c r="F58" s="8" t="s">
        <v>119</v>
      </c>
      <c r="G58" s="8" t="s">
        <v>226</v>
      </c>
      <c r="H58" s="9">
        <v>4</v>
      </c>
      <c r="I58" s="8" t="s">
        <v>228</v>
      </c>
      <c r="J58" s="9">
        <v>3</v>
      </c>
      <c r="K58" s="8" t="s">
        <v>202</v>
      </c>
      <c r="L58" s="8" t="s">
        <v>300</v>
      </c>
    </row>
    <row r="59" spans="1:12" ht="15.75" customHeight="1" x14ac:dyDescent="0.25">
      <c r="A59" s="10" t="s">
        <v>123</v>
      </c>
      <c r="B59" s="10" t="s">
        <v>578</v>
      </c>
      <c r="C59" s="10" t="s">
        <v>553</v>
      </c>
      <c r="D59" s="10" t="s">
        <v>525</v>
      </c>
      <c r="E59" s="10" t="s">
        <v>526</v>
      </c>
      <c r="F59" s="10" t="s">
        <v>119</v>
      </c>
      <c r="G59" s="10" t="s">
        <v>226</v>
      </c>
      <c r="H59" s="11">
        <v>4</v>
      </c>
      <c r="I59" s="10" t="s">
        <v>228</v>
      </c>
      <c r="J59" s="11">
        <v>4</v>
      </c>
      <c r="K59" s="10" t="s">
        <v>247</v>
      </c>
      <c r="L59" s="10" t="s">
        <v>583</v>
      </c>
    </row>
    <row r="60" spans="1:12" ht="15.75" customHeight="1" x14ac:dyDescent="0.25">
      <c r="A60" s="8" t="s">
        <v>123</v>
      </c>
      <c r="B60" s="8" t="s">
        <v>586</v>
      </c>
      <c r="C60" s="8" t="s">
        <v>587</v>
      </c>
      <c r="D60" s="8" t="s">
        <v>525</v>
      </c>
      <c r="E60" s="8" t="s">
        <v>526</v>
      </c>
      <c r="F60" s="8" t="s">
        <v>119</v>
      </c>
      <c r="G60" s="8" t="s">
        <v>226</v>
      </c>
      <c r="H60" s="9">
        <v>4</v>
      </c>
      <c r="I60" s="8" t="s">
        <v>389</v>
      </c>
      <c r="J60" s="9">
        <v>4</v>
      </c>
      <c r="K60" s="8" t="s">
        <v>247</v>
      </c>
      <c r="L60" s="8" t="s">
        <v>596</v>
      </c>
    </row>
    <row r="61" spans="1:12" ht="15.75" customHeight="1" x14ac:dyDescent="0.25">
      <c r="A61" s="10" t="s">
        <v>148</v>
      </c>
      <c r="B61" s="10" t="s">
        <v>597</v>
      </c>
      <c r="C61" s="10" t="s">
        <v>524</v>
      </c>
      <c r="D61" s="10" t="s">
        <v>525</v>
      </c>
      <c r="E61" s="10" t="s">
        <v>526</v>
      </c>
      <c r="F61" s="10" t="s">
        <v>92</v>
      </c>
      <c r="G61" s="10" t="s">
        <v>226</v>
      </c>
      <c r="H61" s="11">
        <v>4</v>
      </c>
      <c r="I61" s="10" t="s">
        <v>228</v>
      </c>
      <c r="J61" s="11">
        <v>2</v>
      </c>
      <c r="K61" s="10" t="s">
        <v>202</v>
      </c>
      <c r="L61" s="10" t="s">
        <v>605</v>
      </c>
    </row>
    <row r="62" spans="1:12" ht="15.75" customHeight="1" x14ac:dyDescent="0.25">
      <c r="A62" s="8" t="s">
        <v>148</v>
      </c>
      <c r="B62" s="8" t="s">
        <v>608</v>
      </c>
      <c r="C62" s="8" t="s">
        <v>534</v>
      </c>
      <c r="D62" s="8" t="s">
        <v>525</v>
      </c>
      <c r="E62" s="8" t="s">
        <v>526</v>
      </c>
      <c r="F62" s="8" t="s">
        <v>92</v>
      </c>
      <c r="G62" s="8" t="s">
        <v>226</v>
      </c>
      <c r="H62" s="9">
        <v>4</v>
      </c>
      <c r="I62" s="8" t="s">
        <v>228</v>
      </c>
      <c r="J62" s="9">
        <v>2</v>
      </c>
      <c r="K62" s="8" t="s">
        <v>202</v>
      </c>
      <c r="L62" s="8" t="s">
        <v>611</v>
      </c>
    </row>
    <row r="63" spans="1:12" ht="15.75" customHeight="1" x14ac:dyDescent="0.25">
      <c r="A63" s="10" t="s">
        <v>148</v>
      </c>
      <c r="B63" s="10" t="s">
        <v>613</v>
      </c>
      <c r="C63" s="10" t="s">
        <v>534</v>
      </c>
      <c r="D63" s="10" t="s">
        <v>525</v>
      </c>
      <c r="E63" s="10" t="s">
        <v>526</v>
      </c>
      <c r="F63" s="10" t="s">
        <v>119</v>
      </c>
      <c r="G63" s="10" t="s">
        <v>226</v>
      </c>
      <c r="H63" s="11">
        <v>4</v>
      </c>
      <c r="I63" s="10" t="s">
        <v>228</v>
      </c>
      <c r="J63" s="11">
        <v>3</v>
      </c>
      <c r="K63" s="10" t="s">
        <v>202</v>
      </c>
      <c r="L63" s="10" t="s">
        <v>619</v>
      </c>
    </row>
    <row r="64" spans="1:12" ht="15.75" customHeight="1" x14ac:dyDescent="0.25">
      <c r="A64" s="8" t="s">
        <v>148</v>
      </c>
      <c r="B64" s="8" t="s">
        <v>621</v>
      </c>
      <c r="C64" s="8" t="s">
        <v>553</v>
      </c>
      <c r="D64" s="8" t="s">
        <v>525</v>
      </c>
      <c r="E64" s="8" t="s">
        <v>526</v>
      </c>
      <c r="F64" s="8" t="s">
        <v>119</v>
      </c>
      <c r="G64" s="8" t="s">
        <v>226</v>
      </c>
      <c r="H64" s="9">
        <v>4</v>
      </c>
      <c r="I64" s="8" t="s">
        <v>228</v>
      </c>
      <c r="J64" s="9">
        <v>4</v>
      </c>
      <c r="K64" s="8" t="s">
        <v>247</v>
      </c>
      <c r="L64" s="8" t="s">
        <v>625</v>
      </c>
    </row>
    <row r="65" spans="1:12" ht="15.75" customHeight="1" x14ac:dyDescent="0.25">
      <c r="A65" s="10" t="s">
        <v>148</v>
      </c>
      <c r="B65" s="10" t="s">
        <v>628</v>
      </c>
      <c r="C65" s="10" t="s">
        <v>587</v>
      </c>
      <c r="D65" s="10" t="s">
        <v>525</v>
      </c>
      <c r="E65" s="10" t="s">
        <v>526</v>
      </c>
      <c r="F65" s="10" t="s">
        <v>119</v>
      </c>
      <c r="G65" s="10" t="s">
        <v>226</v>
      </c>
      <c r="H65" s="11">
        <v>4</v>
      </c>
      <c r="I65" s="10" t="s">
        <v>389</v>
      </c>
      <c r="J65" s="11">
        <v>4</v>
      </c>
      <c r="K65" s="10" t="s">
        <v>247</v>
      </c>
      <c r="L65" s="10" t="s">
        <v>633</v>
      </c>
    </row>
    <row r="66" spans="1:12" ht="15.75" customHeight="1" x14ac:dyDescent="0.25">
      <c r="A66" s="8" t="s">
        <v>169</v>
      </c>
      <c r="B66" s="8" t="s">
        <v>635</v>
      </c>
      <c r="C66" s="8" t="s">
        <v>534</v>
      </c>
      <c r="D66" s="8" t="s">
        <v>525</v>
      </c>
      <c r="E66" s="8" t="s">
        <v>526</v>
      </c>
      <c r="F66" s="8" t="s">
        <v>92</v>
      </c>
      <c r="G66" s="8" t="s">
        <v>226</v>
      </c>
      <c r="H66" s="9">
        <v>4</v>
      </c>
      <c r="I66" s="8" t="s">
        <v>228</v>
      </c>
      <c r="J66" s="9">
        <v>3</v>
      </c>
      <c r="K66" s="8" t="s">
        <v>202</v>
      </c>
      <c r="L66" s="8" t="s">
        <v>371</v>
      </c>
    </row>
    <row r="67" spans="1:12" ht="15.75" customHeight="1" x14ac:dyDescent="0.25">
      <c r="A67" s="10" t="s">
        <v>169</v>
      </c>
      <c r="B67" s="10" t="s">
        <v>641</v>
      </c>
      <c r="C67" s="10" t="s">
        <v>544</v>
      </c>
      <c r="D67" s="10" t="s">
        <v>525</v>
      </c>
      <c r="E67" s="10" t="s">
        <v>526</v>
      </c>
      <c r="F67" s="10" t="s">
        <v>119</v>
      </c>
      <c r="G67" s="10" t="s">
        <v>226</v>
      </c>
      <c r="H67" s="11">
        <v>4</v>
      </c>
      <c r="I67" s="10" t="s">
        <v>228</v>
      </c>
      <c r="J67" s="11">
        <v>3</v>
      </c>
      <c r="K67" s="10" t="s">
        <v>247</v>
      </c>
      <c r="L67" s="10" t="s">
        <v>647</v>
      </c>
    </row>
    <row r="68" spans="1:12" ht="15.75" customHeight="1" x14ac:dyDescent="0.25">
      <c r="A68" s="8" t="s">
        <v>169</v>
      </c>
      <c r="B68" s="8" t="s">
        <v>649</v>
      </c>
      <c r="C68" s="8" t="s">
        <v>587</v>
      </c>
      <c r="D68" s="8" t="s">
        <v>525</v>
      </c>
      <c r="E68" s="8" t="s">
        <v>526</v>
      </c>
      <c r="F68" s="8" t="s">
        <v>119</v>
      </c>
      <c r="G68" s="8" t="s">
        <v>226</v>
      </c>
      <c r="H68" s="9">
        <v>4</v>
      </c>
      <c r="I68" s="8" t="s">
        <v>389</v>
      </c>
      <c r="J68" s="9">
        <v>4</v>
      </c>
      <c r="K68" s="8" t="s">
        <v>247</v>
      </c>
      <c r="L68" s="8" t="s">
        <v>655</v>
      </c>
    </row>
    <row r="69" spans="1:12" ht="15.75" customHeight="1" x14ac:dyDescent="0.25"/>
    <row r="70" spans="1:12" ht="15.75" customHeight="1" x14ac:dyDescent="0.25"/>
    <row r="71" spans="1:12" ht="15.75" customHeight="1" x14ac:dyDescent="0.25"/>
    <row r="72" spans="1:12" ht="15.75" customHeight="1" x14ac:dyDescent="0.25"/>
    <row r="73" spans="1:12" ht="15.75" customHeight="1" x14ac:dyDescent="0.25"/>
    <row r="74" spans="1:12" ht="15.75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/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68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4" customWidth="1"/>
    <col min="2" max="2" width="26" customWidth="1"/>
    <col min="3" max="3" width="10" customWidth="1"/>
    <col min="4" max="4" width="15" customWidth="1"/>
    <col min="5" max="5" width="16" customWidth="1"/>
    <col min="6" max="6" width="15" customWidth="1"/>
    <col min="7" max="8" width="14" customWidth="1"/>
    <col min="9" max="9" width="15" customWidth="1"/>
    <col min="10" max="10" width="11" customWidth="1"/>
    <col min="11" max="11" width="38" customWidth="1"/>
    <col min="12" max="26" width="8.7109375" customWidth="1"/>
  </cols>
  <sheetData>
    <row r="1" spans="1:11" ht="31.5" customHeight="1" x14ac:dyDescent="0.25">
      <c r="A1" s="2" t="s">
        <v>1</v>
      </c>
      <c r="B1" s="2" t="s">
        <v>180</v>
      </c>
      <c r="C1" s="2" t="s">
        <v>183</v>
      </c>
      <c r="D1" s="2" t="s">
        <v>185</v>
      </c>
      <c r="E1" s="2" t="s">
        <v>187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 spans="1:11" x14ac:dyDescent="0.25">
      <c r="A2" s="8" t="s">
        <v>195</v>
      </c>
      <c r="B2" s="8" t="s">
        <v>198</v>
      </c>
      <c r="C2" s="8" t="s">
        <v>94</v>
      </c>
      <c r="D2" s="8" t="s">
        <v>142</v>
      </c>
      <c r="E2" s="8" t="s">
        <v>199</v>
      </c>
      <c r="F2" s="9">
        <v>3200</v>
      </c>
      <c r="G2" s="8" t="s">
        <v>200</v>
      </c>
      <c r="H2" s="9">
        <v>1.35</v>
      </c>
      <c r="I2" s="8" t="s">
        <v>201</v>
      </c>
      <c r="J2" s="8" t="s">
        <v>203</v>
      </c>
      <c r="K2" s="8" t="s">
        <v>204</v>
      </c>
    </row>
    <row r="3" spans="1:11" x14ac:dyDescent="0.25">
      <c r="A3" s="10" t="s">
        <v>195</v>
      </c>
      <c r="B3" s="10" t="s">
        <v>198</v>
      </c>
      <c r="C3" s="10" t="s">
        <v>94</v>
      </c>
      <c r="D3" s="10" t="s">
        <v>212</v>
      </c>
      <c r="E3" s="10" t="s">
        <v>213</v>
      </c>
      <c r="F3" s="11">
        <v>3200</v>
      </c>
      <c r="G3" s="10" t="s">
        <v>200</v>
      </c>
      <c r="H3" s="11">
        <v>1.35</v>
      </c>
      <c r="I3" s="10" t="s">
        <v>201</v>
      </c>
      <c r="J3" s="10" t="s">
        <v>203</v>
      </c>
      <c r="K3" s="10" t="s">
        <v>215</v>
      </c>
    </row>
    <row r="4" spans="1:11" x14ac:dyDescent="0.25">
      <c r="A4" s="8" t="s">
        <v>195</v>
      </c>
      <c r="B4" s="8" t="s">
        <v>217</v>
      </c>
      <c r="C4" s="8" t="s">
        <v>94</v>
      </c>
      <c r="D4" s="8" t="s">
        <v>219</v>
      </c>
      <c r="E4" s="8" t="s">
        <v>221</v>
      </c>
      <c r="F4" s="9">
        <v>3600</v>
      </c>
      <c r="G4" s="8" t="s">
        <v>222</v>
      </c>
      <c r="H4" s="9">
        <v>1.35</v>
      </c>
      <c r="I4" s="8" t="s">
        <v>201</v>
      </c>
      <c r="J4" s="8" t="s">
        <v>201</v>
      </c>
      <c r="K4" s="8" t="s">
        <v>224</v>
      </c>
    </row>
    <row r="5" spans="1:11" x14ac:dyDescent="0.25">
      <c r="A5" s="10" t="s">
        <v>195</v>
      </c>
      <c r="B5" s="10" t="s">
        <v>225</v>
      </c>
      <c r="C5" s="10" t="s">
        <v>94</v>
      </c>
      <c r="D5" s="10" t="s">
        <v>219</v>
      </c>
      <c r="E5" s="10" t="s">
        <v>221</v>
      </c>
      <c r="F5" s="11">
        <v>3600</v>
      </c>
      <c r="G5" s="10" t="s">
        <v>200</v>
      </c>
      <c r="H5" s="11">
        <v>1.35</v>
      </c>
      <c r="I5" s="10" t="s">
        <v>201</v>
      </c>
      <c r="J5" s="10" t="s">
        <v>231</v>
      </c>
      <c r="K5" s="10" t="s">
        <v>234</v>
      </c>
    </row>
    <row r="6" spans="1:11" x14ac:dyDescent="0.25">
      <c r="A6" s="8" t="s">
        <v>195</v>
      </c>
      <c r="B6" s="8" t="s">
        <v>235</v>
      </c>
      <c r="C6" s="8" t="s">
        <v>94</v>
      </c>
      <c r="D6" s="8" t="s">
        <v>142</v>
      </c>
      <c r="E6" s="8" t="s">
        <v>199</v>
      </c>
      <c r="F6" s="9">
        <v>2666</v>
      </c>
      <c r="G6" s="8" t="s">
        <v>241</v>
      </c>
      <c r="H6" s="9">
        <v>1.2</v>
      </c>
      <c r="I6" s="8" t="s">
        <v>203</v>
      </c>
      <c r="J6" s="8" t="s">
        <v>203</v>
      </c>
      <c r="K6" s="8" t="s">
        <v>243</v>
      </c>
    </row>
    <row r="7" spans="1:11" x14ac:dyDescent="0.25">
      <c r="A7" s="10" t="s">
        <v>244</v>
      </c>
      <c r="B7" s="10" t="s">
        <v>245</v>
      </c>
      <c r="C7" s="10" t="s">
        <v>94</v>
      </c>
      <c r="D7" s="10" t="s">
        <v>212</v>
      </c>
      <c r="E7" s="10" t="s">
        <v>213</v>
      </c>
      <c r="F7" s="11">
        <v>3200</v>
      </c>
      <c r="G7" s="10" t="s">
        <v>200</v>
      </c>
      <c r="H7" s="11">
        <v>1.35</v>
      </c>
      <c r="I7" s="10" t="s">
        <v>201</v>
      </c>
      <c r="J7" s="10" t="s">
        <v>203</v>
      </c>
      <c r="K7" s="10" t="s">
        <v>250</v>
      </c>
    </row>
    <row r="8" spans="1:11" x14ac:dyDescent="0.25">
      <c r="A8" s="8" t="s">
        <v>244</v>
      </c>
      <c r="B8" s="8" t="s">
        <v>245</v>
      </c>
      <c r="C8" s="8" t="s">
        <v>94</v>
      </c>
      <c r="D8" s="8" t="s">
        <v>219</v>
      </c>
      <c r="E8" s="8" t="s">
        <v>221</v>
      </c>
      <c r="F8" s="9">
        <v>3600</v>
      </c>
      <c r="G8" s="8" t="s">
        <v>222</v>
      </c>
      <c r="H8" s="9">
        <v>1.35</v>
      </c>
      <c r="I8" s="8" t="s">
        <v>201</v>
      </c>
      <c r="J8" s="8" t="s">
        <v>203</v>
      </c>
      <c r="K8" s="8" t="s">
        <v>256</v>
      </c>
    </row>
    <row r="9" spans="1:11" x14ac:dyDescent="0.25">
      <c r="A9" s="10" t="s">
        <v>244</v>
      </c>
      <c r="B9" s="10" t="s">
        <v>257</v>
      </c>
      <c r="C9" s="10" t="s">
        <v>94</v>
      </c>
      <c r="D9" s="10" t="s">
        <v>219</v>
      </c>
      <c r="E9" s="10" t="s">
        <v>221</v>
      </c>
      <c r="F9" s="11">
        <v>3600</v>
      </c>
      <c r="G9" s="10" t="s">
        <v>222</v>
      </c>
      <c r="H9" s="11">
        <v>1.35</v>
      </c>
      <c r="I9" s="10" t="s">
        <v>201</v>
      </c>
      <c r="J9" s="10" t="s">
        <v>201</v>
      </c>
      <c r="K9" s="10" t="s">
        <v>260</v>
      </c>
    </row>
    <row r="10" spans="1:11" x14ac:dyDescent="0.25">
      <c r="A10" s="8" t="s">
        <v>244</v>
      </c>
      <c r="B10" s="8" t="s">
        <v>262</v>
      </c>
      <c r="C10" s="8" t="s">
        <v>94</v>
      </c>
      <c r="D10" s="8" t="s">
        <v>219</v>
      </c>
      <c r="E10" s="8" t="s">
        <v>221</v>
      </c>
      <c r="F10" s="9">
        <v>3600</v>
      </c>
      <c r="G10" s="8" t="s">
        <v>222</v>
      </c>
      <c r="H10" s="9">
        <v>1.35</v>
      </c>
      <c r="I10" s="8" t="s">
        <v>201</v>
      </c>
      <c r="J10" s="8" t="s">
        <v>201</v>
      </c>
      <c r="K10" s="8" t="s">
        <v>265</v>
      </c>
    </row>
    <row r="11" spans="1:11" x14ac:dyDescent="0.25">
      <c r="A11" s="10" t="s">
        <v>267</v>
      </c>
      <c r="B11" s="10" t="s">
        <v>268</v>
      </c>
      <c r="C11" s="10" t="s">
        <v>94</v>
      </c>
      <c r="D11" s="10" t="s">
        <v>212</v>
      </c>
      <c r="E11" s="10" t="s">
        <v>213</v>
      </c>
      <c r="F11" s="11">
        <v>3200</v>
      </c>
      <c r="G11" s="10" t="s">
        <v>200</v>
      </c>
      <c r="H11" s="11">
        <v>1.35</v>
      </c>
      <c r="I11" s="10" t="s">
        <v>201</v>
      </c>
      <c r="J11" s="10" t="s">
        <v>203</v>
      </c>
      <c r="K11" s="10" t="s">
        <v>273</v>
      </c>
    </row>
    <row r="12" spans="1:11" x14ac:dyDescent="0.25">
      <c r="A12" s="8" t="s">
        <v>267</v>
      </c>
      <c r="B12" s="8" t="s">
        <v>268</v>
      </c>
      <c r="C12" s="8" t="s">
        <v>94</v>
      </c>
      <c r="D12" s="8" t="s">
        <v>219</v>
      </c>
      <c r="E12" s="8" t="s">
        <v>221</v>
      </c>
      <c r="F12" s="9">
        <v>3600</v>
      </c>
      <c r="G12" s="8" t="s">
        <v>222</v>
      </c>
      <c r="H12" s="9">
        <v>1.35</v>
      </c>
      <c r="I12" s="8" t="s">
        <v>201</v>
      </c>
      <c r="J12" s="8" t="s">
        <v>203</v>
      </c>
      <c r="K12" s="8" t="s">
        <v>280</v>
      </c>
    </row>
    <row r="13" spans="1:11" x14ac:dyDescent="0.25">
      <c r="A13" s="10" t="s">
        <v>267</v>
      </c>
      <c r="B13" s="10" t="s">
        <v>285</v>
      </c>
      <c r="C13" s="10" t="s">
        <v>94</v>
      </c>
      <c r="D13" s="10" t="s">
        <v>219</v>
      </c>
      <c r="E13" s="10" t="s">
        <v>221</v>
      </c>
      <c r="F13" s="11">
        <v>3600</v>
      </c>
      <c r="G13" s="10" t="s">
        <v>200</v>
      </c>
      <c r="H13" s="11">
        <v>1.35</v>
      </c>
      <c r="I13" s="10" t="s">
        <v>201</v>
      </c>
      <c r="J13" s="10" t="s">
        <v>201</v>
      </c>
      <c r="K13" s="10" t="s">
        <v>290</v>
      </c>
    </row>
    <row r="14" spans="1:11" x14ac:dyDescent="0.25">
      <c r="A14" s="8" t="s">
        <v>267</v>
      </c>
      <c r="B14" s="8" t="s">
        <v>292</v>
      </c>
      <c r="C14" s="8" t="s">
        <v>94</v>
      </c>
      <c r="D14" s="8" t="s">
        <v>212</v>
      </c>
      <c r="E14" s="8" t="s">
        <v>213</v>
      </c>
      <c r="F14" s="9">
        <v>3200</v>
      </c>
      <c r="G14" s="8" t="s">
        <v>200</v>
      </c>
      <c r="H14" s="9">
        <v>1.35</v>
      </c>
      <c r="I14" s="8" t="s">
        <v>201</v>
      </c>
      <c r="J14" s="8" t="s">
        <v>201</v>
      </c>
      <c r="K14" s="8" t="s">
        <v>295</v>
      </c>
    </row>
    <row r="15" spans="1:11" x14ac:dyDescent="0.25">
      <c r="A15" s="10" t="s">
        <v>296</v>
      </c>
      <c r="B15" s="10" t="s">
        <v>297</v>
      </c>
      <c r="C15" s="10" t="s">
        <v>94</v>
      </c>
      <c r="D15" s="10" t="s">
        <v>212</v>
      </c>
      <c r="E15" s="10" t="s">
        <v>213</v>
      </c>
      <c r="F15" s="11">
        <v>3200</v>
      </c>
      <c r="G15" s="10" t="s">
        <v>200</v>
      </c>
      <c r="H15" s="11">
        <v>1.35</v>
      </c>
      <c r="I15" s="10" t="s">
        <v>201</v>
      </c>
      <c r="J15" s="10" t="s">
        <v>203</v>
      </c>
      <c r="K15" s="10" t="s">
        <v>299</v>
      </c>
    </row>
    <row r="16" spans="1:11" x14ac:dyDescent="0.25">
      <c r="A16" s="8" t="s">
        <v>296</v>
      </c>
      <c r="B16" s="8" t="s">
        <v>303</v>
      </c>
      <c r="C16" s="8" t="s">
        <v>94</v>
      </c>
      <c r="D16" s="8" t="s">
        <v>142</v>
      </c>
      <c r="E16" s="8" t="s">
        <v>199</v>
      </c>
      <c r="F16" s="9">
        <v>3200</v>
      </c>
      <c r="G16" s="8" t="s">
        <v>306</v>
      </c>
      <c r="H16" s="9">
        <v>1.2</v>
      </c>
      <c r="I16" s="8" t="s">
        <v>203</v>
      </c>
      <c r="J16" s="8" t="s">
        <v>203</v>
      </c>
      <c r="K16" s="8" t="s">
        <v>308</v>
      </c>
    </row>
    <row r="17" spans="1:11" x14ac:dyDescent="0.25">
      <c r="A17" s="10" t="s">
        <v>309</v>
      </c>
      <c r="B17" s="10" t="s">
        <v>310</v>
      </c>
      <c r="C17" s="10" t="s">
        <v>94</v>
      </c>
      <c r="D17" s="10" t="s">
        <v>212</v>
      </c>
      <c r="E17" s="10" t="s">
        <v>213</v>
      </c>
      <c r="F17" s="11">
        <v>3200</v>
      </c>
      <c r="G17" s="10" t="s">
        <v>200</v>
      </c>
      <c r="H17" s="11">
        <v>1.35</v>
      </c>
      <c r="I17" s="10" t="s">
        <v>201</v>
      </c>
      <c r="J17" s="10" t="s">
        <v>203</v>
      </c>
      <c r="K17" s="10" t="s">
        <v>313</v>
      </c>
    </row>
    <row r="18" spans="1:11" x14ac:dyDescent="0.25">
      <c r="A18" s="8" t="s">
        <v>309</v>
      </c>
      <c r="B18" s="8" t="s">
        <v>315</v>
      </c>
      <c r="C18" s="8" t="s">
        <v>94</v>
      </c>
      <c r="D18" s="8" t="s">
        <v>219</v>
      </c>
      <c r="E18" s="8" t="s">
        <v>221</v>
      </c>
      <c r="F18" s="9">
        <v>3600</v>
      </c>
      <c r="G18" s="8" t="s">
        <v>222</v>
      </c>
      <c r="H18" s="9">
        <v>1.35</v>
      </c>
      <c r="I18" s="8" t="s">
        <v>201</v>
      </c>
      <c r="J18" s="8" t="s">
        <v>201</v>
      </c>
      <c r="K18" s="8" t="s">
        <v>318</v>
      </c>
    </row>
    <row r="19" spans="1:11" x14ac:dyDescent="0.25">
      <c r="A19" s="10" t="s">
        <v>319</v>
      </c>
      <c r="B19" s="10" t="s">
        <v>320</v>
      </c>
      <c r="C19" s="10" t="s">
        <v>94</v>
      </c>
      <c r="D19" s="10" t="s">
        <v>212</v>
      </c>
      <c r="E19" s="10" t="s">
        <v>213</v>
      </c>
      <c r="F19" s="11">
        <v>3200</v>
      </c>
      <c r="G19" s="10" t="s">
        <v>200</v>
      </c>
      <c r="H19" s="11">
        <v>1.35</v>
      </c>
      <c r="I19" s="10" t="s">
        <v>201</v>
      </c>
      <c r="J19" s="10" t="s">
        <v>203</v>
      </c>
      <c r="K19" s="10" t="s">
        <v>322</v>
      </c>
    </row>
    <row r="20" spans="1:11" x14ac:dyDescent="0.25">
      <c r="A20" s="8" t="s">
        <v>319</v>
      </c>
      <c r="B20" s="8" t="s">
        <v>325</v>
      </c>
      <c r="C20" s="8" t="s">
        <v>94</v>
      </c>
      <c r="D20" s="8" t="s">
        <v>219</v>
      </c>
      <c r="E20" s="8" t="s">
        <v>221</v>
      </c>
      <c r="F20" s="9">
        <v>3600</v>
      </c>
      <c r="G20" s="8" t="s">
        <v>326</v>
      </c>
      <c r="H20" s="9">
        <v>1.35</v>
      </c>
      <c r="I20" s="8" t="s">
        <v>201</v>
      </c>
      <c r="J20" s="8" t="s">
        <v>201</v>
      </c>
      <c r="K20" s="8" t="s">
        <v>327</v>
      </c>
    </row>
    <row r="21" spans="1:11" ht="15.75" customHeight="1" x14ac:dyDescent="0.25">
      <c r="A21" s="10" t="s">
        <v>328</v>
      </c>
      <c r="B21" s="10" t="s">
        <v>329</v>
      </c>
      <c r="C21" s="10" t="s">
        <v>94</v>
      </c>
      <c r="D21" s="10" t="s">
        <v>212</v>
      </c>
      <c r="E21" s="10" t="s">
        <v>213</v>
      </c>
      <c r="F21" s="11">
        <v>3200</v>
      </c>
      <c r="G21" s="10" t="s">
        <v>200</v>
      </c>
      <c r="H21" s="11">
        <v>1.35</v>
      </c>
      <c r="I21" s="10" t="s">
        <v>201</v>
      </c>
      <c r="J21" s="10" t="s">
        <v>203</v>
      </c>
      <c r="K21" s="10" t="s">
        <v>313</v>
      </c>
    </row>
    <row r="22" spans="1:11" ht="15.75" customHeight="1" x14ac:dyDescent="0.25">
      <c r="A22" s="8" t="s">
        <v>328</v>
      </c>
      <c r="B22" s="8" t="s">
        <v>332</v>
      </c>
      <c r="C22" s="8" t="s">
        <v>94</v>
      </c>
      <c r="D22" s="8" t="s">
        <v>212</v>
      </c>
      <c r="E22" s="8" t="s">
        <v>213</v>
      </c>
      <c r="F22" s="9">
        <v>3200</v>
      </c>
      <c r="G22" s="8" t="s">
        <v>200</v>
      </c>
      <c r="H22" s="9">
        <v>1.35</v>
      </c>
      <c r="I22" s="8" t="s">
        <v>201</v>
      </c>
      <c r="J22" s="8" t="s">
        <v>201</v>
      </c>
      <c r="K22" s="8" t="s">
        <v>318</v>
      </c>
    </row>
    <row r="23" spans="1:11" ht="15.75" customHeight="1" x14ac:dyDescent="0.25">
      <c r="A23" s="10" t="s">
        <v>195</v>
      </c>
      <c r="B23" s="10" t="s">
        <v>334</v>
      </c>
      <c r="C23" s="10" t="s">
        <v>226</v>
      </c>
      <c r="D23" s="10" t="s">
        <v>212</v>
      </c>
      <c r="E23" s="10" t="s">
        <v>337</v>
      </c>
      <c r="F23" s="11">
        <v>5200</v>
      </c>
      <c r="G23" s="10" t="s">
        <v>338</v>
      </c>
      <c r="H23" s="11">
        <v>1.25</v>
      </c>
      <c r="I23" s="10" t="s">
        <v>201</v>
      </c>
      <c r="J23" s="10" t="s">
        <v>203</v>
      </c>
      <c r="K23" s="10" t="s">
        <v>339</v>
      </c>
    </row>
    <row r="24" spans="1:11" ht="15.75" customHeight="1" x14ac:dyDescent="0.25">
      <c r="A24" s="8" t="s">
        <v>195</v>
      </c>
      <c r="B24" s="8" t="s">
        <v>334</v>
      </c>
      <c r="C24" s="8" t="s">
        <v>226</v>
      </c>
      <c r="D24" s="8" t="s">
        <v>219</v>
      </c>
      <c r="E24" s="8" t="s">
        <v>221</v>
      </c>
      <c r="F24" s="9">
        <v>6000</v>
      </c>
      <c r="G24" s="8" t="s">
        <v>340</v>
      </c>
      <c r="H24" s="9">
        <v>1.35</v>
      </c>
      <c r="I24" s="8" t="s">
        <v>201</v>
      </c>
      <c r="J24" s="8" t="s">
        <v>203</v>
      </c>
      <c r="K24" s="8" t="s">
        <v>343</v>
      </c>
    </row>
    <row r="25" spans="1:11" ht="15.75" customHeight="1" x14ac:dyDescent="0.25">
      <c r="A25" s="10" t="s">
        <v>195</v>
      </c>
      <c r="B25" s="10" t="s">
        <v>346</v>
      </c>
      <c r="C25" s="10" t="s">
        <v>226</v>
      </c>
      <c r="D25" s="10" t="s">
        <v>219</v>
      </c>
      <c r="E25" s="10" t="s">
        <v>221</v>
      </c>
      <c r="F25" s="11">
        <v>6000</v>
      </c>
      <c r="G25" s="10" t="s">
        <v>340</v>
      </c>
      <c r="H25" s="11">
        <v>1.35</v>
      </c>
      <c r="I25" s="10" t="s">
        <v>201</v>
      </c>
      <c r="J25" s="10" t="s">
        <v>201</v>
      </c>
      <c r="K25" s="10" t="s">
        <v>348</v>
      </c>
    </row>
    <row r="26" spans="1:11" ht="15.75" customHeight="1" x14ac:dyDescent="0.25">
      <c r="A26" s="8" t="s">
        <v>195</v>
      </c>
      <c r="B26" s="8" t="s">
        <v>349</v>
      </c>
      <c r="C26" s="8" t="s">
        <v>226</v>
      </c>
      <c r="D26" s="8" t="s">
        <v>219</v>
      </c>
      <c r="E26" s="8" t="s">
        <v>221</v>
      </c>
      <c r="F26" s="9">
        <v>6400</v>
      </c>
      <c r="G26" s="8" t="s">
        <v>351</v>
      </c>
      <c r="H26" s="9">
        <v>1.4</v>
      </c>
      <c r="I26" s="8" t="s">
        <v>201</v>
      </c>
      <c r="J26" s="8" t="s">
        <v>231</v>
      </c>
      <c r="K26" s="8" t="s">
        <v>353</v>
      </c>
    </row>
    <row r="27" spans="1:11" ht="15.75" customHeight="1" x14ac:dyDescent="0.25">
      <c r="A27" s="10" t="s">
        <v>244</v>
      </c>
      <c r="B27" s="10" t="s">
        <v>355</v>
      </c>
      <c r="C27" s="10" t="s">
        <v>226</v>
      </c>
      <c r="D27" s="10" t="s">
        <v>219</v>
      </c>
      <c r="E27" s="10" t="s">
        <v>221</v>
      </c>
      <c r="F27" s="11">
        <v>5600</v>
      </c>
      <c r="G27" s="10" t="s">
        <v>340</v>
      </c>
      <c r="H27" s="11">
        <v>1.25</v>
      </c>
      <c r="I27" s="10" t="s">
        <v>201</v>
      </c>
      <c r="J27" s="10" t="s">
        <v>203</v>
      </c>
      <c r="K27" s="10" t="s">
        <v>359</v>
      </c>
    </row>
    <row r="28" spans="1:11" ht="15.75" customHeight="1" x14ac:dyDescent="0.25">
      <c r="A28" s="8" t="s">
        <v>244</v>
      </c>
      <c r="B28" s="8" t="s">
        <v>355</v>
      </c>
      <c r="C28" s="8" t="s">
        <v>226</v>
      </c>
      <c r="D28" s="8" t="s">
        <v>219</v>
      </c>
      <c r="E28" s="8" t="s">
        <v>221</v>
      </c>
      <c r="F28" s="9">
        <v>6000</v>
      </c>
      <c r="G28" s="8" t="s">
        <v>361</v>
      </c>
      <c r="H28" s="9">
        <v>1.35</v>
      </c>
      <c r="I28" s="8" t="s">
        <v>201</v>
      </c>
      <c r="J28" s="8" t="s">
        <v>203</v>
      </c>
      <c r="K28" s="8" t="s">
        <v>363</v>
      </c>
    </row>
    <row r="29" spans="1:11" ht="15.75" customHeight="1" x14ac:dyDescent="0.25">
      <c r="A29" s="10" t="s">
        <v>244</v>
      </c>
      <c r="B29" s="10" t="s">
        <v>364</v>
      </c>
      <c r="C29" s="10" t="s">
        <v>226</v>
      </c>
      <c r="D29" s="10" t="s">
        <v>219</v>
      </c>
      <c r="E29" s="10" t="s">
        <v>221</v>
      </c>
      <c r="F29" s="11">
        <v>6000</v>
      </c>
      <c r="G29" s="10" t="s">
        <v>340</v>
      </c>
      <c r="H29" s="11">
        <v>1.35</v>
      </c>
      <c r="I29" s="10" t="s">
        <v>201</v>
      </c>
      <c r="J29" s="10" t="s">
        <v>201</v>
      </c>
      <c r="K29" s="10" t="s">
        <v>367</v>
      </c>
    </row>
    <row r="30" spans="1:11" ht="15.75" customHeight="1" x14ac:dyDescent="0.25">
      <c r="A30" s="8" t="s">
        <v>244</v>
      </c>
      <c r="B30" s="8" t="s">
        <v>368</v>
      </c>
      <c r="C30" s="8" t="s">
        <v>226</v>
      </c>
      <c r="D30" s="8" t="s">
        <v>96</v>
      </c>
      <c r="E30" s="8" t="s">
        <v>369</v>
      </c>
      <c r="F30" s="9">
        <v>6600</v>
      </c>
      <c r="G30" s="8" t="s">
        <v>351</v>
      </c>
      <c r="H30" s="9">
        <v>1.4</v>
      </c>
      <c r="I30" s="8" t="s">
        <v>201</v>
      </c>
      <c r="J30" s="8" t="s">
        <v>201</v>
      </c>
      <c r="K30" s="8" t="s">
        <v>372</v>
      </c>
    </row>
    <row r="31" spans="1:11" ht="15.75" customHeight="1" x14ac:dyDescent="0.25">
      <c r="A31" s="10" t="s">
        <v>267</v>
      </c>
      <c r="B31" s="10" t="s">
        <v>374</v>
      </c>
      <c r="C31" s="10" t="s">
        <v>226</v>
      </c>
      <c r="D31" s="10" t="s">
        <v>219</v>
      </c>
      <c r="E31" s="10" t="s">
        <v>221</v>
      </c>
      <c r="F31" s="11">
        <v>6000</v>
      </c>
      <c r="G31" s="10" t="s">
        <v>361</v>
      </c>
      <c r="H31" s="11">
        <v>1.35</v>
      </c>
      <c r="I31" s="10" t="s">
        <v>201</v>
      </c>
      <c r="J31" s="10" t="s">
        <v>203</v>
      </c>
      <c r="K31" s="10" t="s">
        <v>376</v>
      </c>
    </row>
    <row r="32" spans="1:11" ht="15.75" customHeight="1" x14ac:dyDescent="0.25">
      <c r="A32" s="8" t="s">
        <v>267</v>
      </c>
      <c r="B32" s="8" t="s">
        <v>377</v>
      </c>
      <c r="C32" s="8" t="s">
        <v>226</v>
      </c>
      <c r="D32" s="8" t="s">
        <v>219</v>
      </c>
      <c r="E32" s="8" t="s">
        <v>221</v>
      </c>
      <c r="F32" s="9">
        <v>6400</v>
      </c>
      <c r="G32" s="8" t="s">
        <v>351</v>
      </c>
      <c r="H32" s="9">
        <v>1.4</v>
      </c>
      <c r="I32" s="8" t="s">
        <v>201</v>
      </c>
      <c r="J32" s="8" t="s">
        <v>201</v>
      </c>
      <c r="K32" s="8" t="s">
        <v>383</v>
      </c>
    </row>
    <row r="33" spans="1:11" ht="15.75" customHeight="1" x14ac:dyDescent="0.25">
      <c r="A33" s="10" t="s">
        <v>267</v>
      </c>
      <c r="B33" s="10" t="s">
        <v>386</v>
      </c>
      <c r="C33" s="10" t="s">
        <v>226</v>
      </c>
      <c r="D33" s="10" t="s">
        <v>219</v>
      </c>
      <c r="E33" s="10" t="s">
        <v>221</v>
      </c>
      <c r="F33" s="11">
        <v>6000</v>
      </c>
      <c r="G33" s="10" t="s">
        <v>361</v>
      </c>
      <c r="H33" s="11">
        <v>1.35</v>
      </c>
      <c r="I33" s="10" t="s">
        <v>201</v>
      </c>
      <c r="J33" s="10" t="s">
        <v>201</v>
      </c>
      <c r="K33" s="10" t="s">
        <v>392</v>
      </c>
    </row>
    <row r="34" spans="1:11" ht="15.75" customHeight="1" x14ac:dyDescent="0.25">
      <c r="A34" s="8" t="s">
        <v>267</v>
      </c>
      <c r="B34" s="8" t="s">
        <v>395</v>
      </c>
      <c r="C34" s="8" t="s">
        <v>226</v>
      </c>
      <c r="D34" s="8" t="s">
        <v>219</v>
      </c>
      <c r="E34" s="8" t="s">
        <v>221</v>
      </c>
      <c r="F34" s="9">
        <v>6000</v>
      </c>
      <c r="G34" s="8" t="s">
        <v>361</v>
      </c>
      <c r="H34" s="9">
        <v>1.35</v>
      </c>
      <c r="I34" s="8" t="s">
        <v>201</v>
      </c>
      <c r="J34" s="8" t="s">
        <v>203</v>
      </c>
      <c r="K34" s="8" t="s">
        <v>398</v>
      </c>
    </row>
    <row r="35" spans="1:11" ht="15.75" customHeight="1" x14ac:dyDescent="0.25">
      <c r="A35" s="10" t="s">
        <v>296</v>
      </c>
      <c r="B35" s="10" t="s">
        <v>399</v>
      </c>
      <c r="C35" s="10" t="s">
        <v>226</v>
      </c>
      <c r="D35" s="10" t="s">
        <v>219</v>
      </c>
      <c r="E35" s="10" t="s">
        <v>221</v>
      </c>
      <c r="F35" s="11">
        <v>5600</v>
      </c>
      <c r="G35" s="10" t="s">
        <v>401</v>
      </c>
      <c r="H35" s="11">
        <v>1.1000000000000001</v>
      </c>
      <c r="I35" s="10" t="s">
        <v>203</v>
      </c>
      <c r="J35" s="10" t="s">
        <v>203</v>
      </c>
      <c r="K35" s="10" t="s">
        <v>402</v>
      </c>
    </row>
    <row r="36" spans="1:11" ht="15.75" customHeight="1" x14ac:dyDescent="0.25">
      <c r="A36" s="8" t="s">
        <v>296</v>
      </c>
      <c r="B36" s="8" t="s">
        <v>403</v>
      </c>
      <c r="C36" s="8" t="s">
        <v>226</v>
      </c>
      <c r="D36" s="8" t="s">
        <v>219</v>
      </c>
      <c r="E36" s="8" t="s">
        <v>221</v>
      </c>
      <c r="F36" s="9">
        <v>6000</v>
      </c>
      <c r="G36" s="8" t="s">
        <v>340</v>
      </c>
      <c r="H36" s="9">
        <v>1.35</v>
      </c>
      <c r="I36" s="8" t="s">
        <v>201</v>
      </c>
      <c r="J36" s="8" t="s">
        <v>203</v>
      </c>
      <c r="K36" s="8" t="s">
        <v>410</v>
      </c>
    </row>
    <row r="37" spans="1:11" ht="15.75" customHeight="1" x14ac:dyDescent="0.25">
      <c r="A37" s="10" t="s">
        <v>309</v>
      </c>
      <c r="B37" s="10" t="s">
        <v>411</v>
      </c>
      <c r="C37" s="10" t="s">
        <v>226</v>
      </c>
      <c r="D37" s="10" t="s">
        <v>219</v>
      </c>
      <c r="E37" s="10" t="s">
        <v>221</v>
      </c>
      <c r="F37" s="11">
        <v>6000</v>
      </c>
      <c r="G37" s="10" t="s">
        <v>361</v>
      </c>
      <c r="H37" s="11">
        <v>1.35</v>
      </c>
      <c r="I37" s="10" t="s">
        <v>201</v>
      </c>
      <c r="J37" s="10" t="s">
        <v>201</v>
      </c>
      <c r="K37" s="10" t="s">
        <v>327</v>
      </c>
    </row>
    <row r="38" spans="1:11" ht="15.75" customHeight="1" x14ac:dyDescent="0.25">
      <c r="A38" s="8" t="s">
        <v>309</v>
      </c>
      <c r="B38" s="8" t="s">
        <v>418</v>
      </c>
      <c r="C38" s="8" t="s">
        <v>226</v>
      </c>
      <c r="D38" s="8" t="s">
        <v>219</v>
      </c>
      <c r="E38" s="8" t="s">
        <v>221</v>
      </c>
      <c r="F38" s="9">
        <v>6000</v>
      </c>
      <c r="G38" s="8" t="s">
        <v>422</v>
      </c>
      <c r="H38" s="9">
        <v>1.25</v>
      </c>
      <c r="I38" s="8" t="s">
        <v>201</v>
      </c>
      <c r="J38" s="8" t="s">
        <v>203</v>
      </c>
      <c r="K38" s="8" t="s">
        <v>423</v>
      </c>
    </row>
    <row r="39" spans="1:11" ht="15.75" customHeight="1" x14ac:dyDescent="0.25">
      <c r="A39" s="10" t="s">
        <v>319</v>
      </c>
      <c r="B39" s="10" t="s">
        <v>426</v>
      </c>
      <c r="C39" s="10" t="s">
        <v>226</v>
      </c>
      <c r="D39" s="10" t="s">
        <v>219</v>
      </c>
      <c r="E39" s="10" t="s">
        <v>221</v>
      </c>
      <c r="F39" s="11">
        <v>6000</v>
      </c>
      <c r="G39" s="10" t="s">
        <v>340</v>
      </c>
      <c r="H39" s="11">
        <v>1.35</v>
      </c>
      <c r="I39" s="10" t="s">
        <v>201</v>
      </c>
      <c r="J39" s="10" t="s">
        <v>203</v>
      </c>
      <c r="K39" s="10" t="s">
        <v>432</v>
      </c>
    </row>
    <row r="40" spans="1:11" ht="15.75" customHeight="1" x14ac:dyDescent="0.25">
      <c r="A40" s="8" t="s">
        <v>319</v>
      </c>
      <c r="B40" s="8" t="s">
        <v>433</v>
      </c>
      <c r="C40" s="8" t="s">
        <v>226</v>
      </c>
      <c r="D40" s="8" t="s">
        <v>219</v>
      </c>
      <c r="E40" s="8" t="s">
        <v>221</v>
      </c>
      <c r="F40" s="9">
        <v>6200</v>
      </c>
      <c r="G40" s="8" t="s">
        <v>338</v>
      </c>
      <c r="H40" s="9">
        <v>1.35</v>
      </c>
      <c r="I40" s="8" t="s">
        <v>201</v>
      </c>
      <c r="J40" s="8" t="s">
        <v>201</v>
      </c>
      <c r="K40" s="8" t="s">
        <v>327</v>
      </c>
    </row>
    <row r="41" spans="1:11" ht="15.75" customHeight="1" x14ac:dyDescent="0.25">
      <c r="A41" s="10" t="s">
        <v>328</v>
      </c>
      <c r="B41" s="10" t="s">
        <v>436</v>
      </c>
      <c r="C41" s="10" t="s">
        <v>226</v>
      </c>
      <c r="D41" s="10" t="s">
        <v>219</v>
      </c>
      <c r="E41" s="10" t="s">
        <v>221</v>
      </c>
      <c r="F41" s="11">
        <v>6000</v>
      </c>
      <c r="G41" s="10" t="s">
        <v>361</v>
      </c>
      <c r="H41" s="11">
        <v>1.35</v>
      </c>
      <c r="I41" s="10" t="s">
        <v>201</v>
      </c>
      <c r="J41" s="10" t="s">
        <v>203</v>
      </c>
      <c r="K41" s="10" t="s">
        <v>359</v>
      </c>
    </row>
    <row r="42" spans="1:11" ht="15.75" customHeight="1" x14ac:dyDescent="0.25">
      <c r="A42" s="8" t="s">
        <v>328</v>
      </c>
      <c r="B42" s="8" t="s">
        <v>443</v>
      </c>
      <c r="C42" s="8" t="s">
        <v>226</v>
      </c>
      <c r="D42" s="8" t="s">
        <v>219</v>
      </c>
      <c r="E42" s="8" t="s">
        <v>221</v>
      </c>
      <c r="F42" s="9">
        <v>6400</v>
      </c>
      <c r="G42" s="8" t="s">
        <v>351</v>
      </c>
      <c r="H42" s="9">
        <v>1.4</v>
      </c>
      <c r="I42" s="8" t="s">
        <v>201</v>
      </c>
      <c r="J42" s="8" t="s">
        <v>201</v>
      </c>
      <c r="K42" s="8" t="s">
        <v>447</v>
      </c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42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A0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8" customWidth="1"/>
    <col min="2" max="2" width="23" customWidth="1"/>
    <col min="3" max="3" width="35" customWidth="1"/>
    <col min="4" max="4" width="14" customWidth="1"/>
    <col min="5" max="5" width="23" customWidth="1"/>
    <col min="6" max="6" width="18" customWidth="1"/>
    <col min="7" max="7" width="19" customWidth="1"/>
    <col min="8" max="8" width="20" customWidth="1"/>
    <col min="9" max="9" width="19" customWidth="1"/>
    <col min="10" max="10" width="11" customWidth="1"/>
    <col min="11" max="11" width="38" customWidth="1"/>
    <col min="12" max="26" width="8.7109375" customWidth="1"/>
  </cols>
  <sheetData>
    <row r="1" spans="1:11" ht="31.5" customHeight="1" x14ac:dyDescent="0.25">
      <c r="A1" s="2" t="s">
        <v>1</v>
      </c>
      <c r="B1" s="2" t="s">
        <v>4</v>
      </c>
      <c r="C1" s="2" t="s">
        <v>585</v>
      </c>
      <c r="D1" s="2" t="s">
        <v>47</v>
      </c>
      <c r="E1" s="2" t="s">
        <v>588</v>
      </c>
      <c r="F1" s="2" t="s">
        <v>589</v>
      </c>
      <c r="G1" s="2" t="s">
        <v>590</v>
      </c>
      <c r="H1" s="2" t="s">
        <v>593</v>
      </c>
      <c r="I1" s="2" t="s">
        <v>594</v>
      </c>
      <c r="J1" s="2" t="s">
        <v>595</v>
      </c>
      <c r="K1" s="2" t="s">
        <v>194</v>
      </c>
    </row>
    <row r="2" spans="1:11" x14ac:dyDescent="0.25">
      <c r="A2" s="8" t="s">
        <v>598</v>
      </c>
      <c r="B2" s="8" t="s">
        <v>599</v>
      </c>
      <c r="C2" s="8" t="s">
        <v>600</v>
      </c>
      <c r="D2" s="8" t="s">
        <v>601</v>
      </c>
      <c r="E2" s="8" t="s">
        <v>602</v>
      </c>
      <c r="F2" s="8" t="s">
        <v>603</v>
      </c>
      <c r="G2" s="9">
        <v>3500</v>
      </c>
      <c r="H2" s="9">
        <v>3300</v>
      </c>
      <c r="I2" s="8" t="s">
        <v>201</v>
      </c>
      <c r="J2" s="8" t="s">
        <v>606</v>
      </c>
      <c r="K2" s="8" t="s">
        <v>607</v>
      </c>
    </row>
    <row r="3" spans="1:11" x14ac:dyDescent="0.25">
      <c r="A3" s="10" t="s">
        <v>609</v>
      </c>
      <c r="B3" s="10" t="s">
        <v>610</v>
      </c>
      <c r="C3" s="10" t="s">
        <v>600</v>
      </c>
      <c r="D3" s="10" t="s">
        <v>601</v>
      </c>
      <c r="E3" s="10" t="s">
        <v>602</v>
      </c>
      <c r="F3" s="10" t="s">
        <v>603</v>
      </c>
      <c r="G3" s="11">
        <v>3500</v>
      </c>
      <c r="H3" s="11">
        <v>3000</v>
      </c>
      <c r="I3" s="10" t="s">
        <v>614</v>
      </c>
      <c r="J3" s="10" t="s">
        <v>606</v>
      </c>
      <c r="K3" s="10" t="s">
        <v>615</v>
      </c>
    </row>
    <row r="4" spans="1:11" x14ac:dyDescent="0.25">
      <c r="A4" s="8" t="s">
        <v>609</v>
      </c>
      <c r="B4" s="8" t="s">
        <v>617</v>
      </c>
      <c r="C4" s="8" t="s">
        <v>600</v>
      </c>
      <c r="D4" s="8" t="s">
        <v>601</v>
      </c>
      <c r="E4" s="8" t="s">
        <v>618</v>
      </c>
      <c r="F4" s="8" t="s">
        <v>603</v>
      </c>
      <c r="G4" s="9">
        <v>5150</v>
      </c>
      <c r="H4" s="9">
        <v>4900</v>
      </c>
      <c r="I4" s="8" t="s">
        <v>614</v>
      </c>
      <c r="J4" s="8" t="s">
        <v>606</v>
      </c>
      <c r="K4" s="8" t="s">
        <v>620</v>
      </c>
    </row>
    <row r="5" spans="1:11" x14ac:dyDescent="0.25">
      <c r="A5" s="10" t="s">
        <v>296</v>
      </c>
      <c r="B5" s="10" t="s">
        <v>622</v>
      </c>
      <c r="C5" s="10" t="s">
        <v>600</v>
      </c>
      <c r="D5" s="10" t="s">
        <v>601</v>
      </c>
      <c r="E5" s="10" t="s">
        <v>618</v>
      </c>
      <c r="F5" s="10" t="s">
        <v>623</v>
      </c>
      <c r="G5" s="11">
        <v>5000</v>
      </c>
      <c r="H5" s="11">
        <v>4200</v>
      </c>
      <c r="I5" s="10" t="s">
        <v>614</v>
      </c>
      <c r="J5" s="10" t="s">
        <v>606</v>
      </c>
      <c r="K5" s="10" t="s">
        <v>624</v>
      </c>
    </row>
    <row r="6" spans="1:11" x14ac:dyDescent="0.25">
      <c r="A6" s="8" t="s">
        <v>195</v>
      </c>
      <c r="B6" s="8" t="s">
        <v>627</v>
      </c>
      <c r="C6" s="8" t="s">
        <v>600</v>
      </c>
      <c r="D6" s="8" t="s">
        <v>601</v>
      </c>
      <c r="E6" s="8" t="s">
        <v>618</v>
      </c>
      <c r="F6" s="8" t="s">
        <v>629</v>
      </c>
      <c r="G6" s="9">
        <v>3500</v>
      </c>
      <c r="H6" s="9">
        <v>2800</v>
      </c>
      <c r="I6" s="8" t="s">
        <v>614</v>
      </c>
      <c r="J6" s="8" t="s">
        <v>630</v>
      </c>
      <c r="K6" s="8" t="s">
        <v>631</v>
      </c>
    </row>
    <row r="7" spans="1:11" x14ac:dyDescent="0.25">
      <c r="A7" s="10" t="s">
        <v>195</v>
      </c>
      <c r="B7" s="10" t="s">
        <v>632</v>
      </c>
      <c r="C7" s="10" t="s">
        <v>600</v>
      </c>
      <c r="D7" s="10" t="s">
        <v>601</v>
      </c>
      <c r="E7" s="10" t="s">
        <v>618</v>
      </c>
      <c r="F7" s="10" t="s">
        <v>634</v>
      </c>
      <c r="G7" s="11">
        <v>7000</v>
      </c>
      <c r="H7" s="11">
        <v>7000</v>
      </c>
      <c r="I7" s="10" t="s">
        <v>201</v>
      </c>
      <c r="J7" s="10" t="s">
        <v>606</v>
      </c>
      <c r="K7" s="10" t="s">
        <v>636</v>
      </c>
    </row>
    <row r="8" spans="1:11" x14ac:dyDescent="0.25">
      <c r="A8" s="8" t="s">
        <v>598</v>
      </c>
      <c r="B8" s="8" t="s">
        <v>637</v>
      </c>
      <c r="C8" s="8" t="s">
        <v>600</v>
      </c>
      <c r="D8" s="8" t="s">
        <v>601</v>
      </c>
      <c r="E8" s="8" t="s">
        <v>618</v>
      </c>
      <c r="F8" s="8" t="s">
        <v>603</v>
      </c>
      <c r="G8" s="9">
        <v>7000</v>
      </c>
      <c r="H8" s="9">
        <v>5100</v>
      </c>
      <c r="I8" s="8" t="s">
        <v>201</v>
      </c>
      <c r="J8" s="8" t="s">
        <v>606</v>
      </c>
      <c r="K8" s="8" t="s">
        <v>639</v>
      </c>
    </row>
    <row r="9" spans="1:11" x14ac:dyDescent="0.25">
      <c r="A9" s="10" t="s">
        <v>598</v>
      </c>
      <c r="B9" s="10" t="s">
        <v>640</v>
      </c>
      <c r="C9" s="10" t="s">
        <v>600</v>
      </c>
      <c r="D9" s="10" t="s">
        <v>601</v>
      </c>
      <c r="E9" s="10" t="s">
        <v>618</v>
      </c>
      <c r="F9" s="10" t="s">
        <v>642</v>
      </c>
      <c r="G9" s="11">
        <v>7450</v>
      </c>
      <c r="H9" s="11">
        <v>6900</v>
      </c>
      <c r="I9" s="10" t="s">
        <v>201</v>
      </c>
      <c r="J9" s="10" t="s">
        <v>606</v>
      </c>
      <c r="K9" s="10" t="s">
        <v>644</v>
      </c>
    </row>
    <row r="10" spans="1:11" x14ac:dyDescent="0.25">
      <c r="A10" s="8" t="s">
        <v>598</v>
      </c>
      <c r="B10" s="8" t="s">
        <v>645</v>
      </c>
      <c r="C10" s="8" t="s">
        <v>600</v>
      </c>
      <c r="D10" s="8" t="s">
        <v>601</v>
      </c>
      <c r="E10" s="8" t="s">
        <v>646</v>
      </c>
      <c r="F10" s="8" t="s">
        <v>642</v>
      </c>
      <c r="G10" s="9">
        <v>7250</v>
      </c>
      <c r="H10" s="9">
        <v>6300</v>
      </c>
      <c r="I10" s="8" t="s">
        <v>614</v>
      </c>
      <c r="J10" s="8" t="s">
        <v>606</v>
      </c>
      <c r="K10" s="8" t="s">
        <v>648</v>
      </c>
    </row>
    <row r="11" spans="1:11" x14ac:dyDescent="0.25">
      <c r="A11" s="10" t="s">
        <v>609</v>
      </c>
      <c r="B11" s="10" t="s">
        <v>650</v>
      </c>
      <c r="C11" s="10" t="s">
        <v>600</v>
      </c>
      <c r="D11" s="10" t="s">
        <v>601</v>
      </c>
      <c r="E11" s="10" t="s">
        <v>618</v>
      </c>
      <c r="F11" s="10" t="s">
        <v>651</v>
      </c>
      <c r="G11" s="11">
        <v>7300</v>
      </c>
      <c r="H11" s="11">
        <v>6600</v>
      </c>
      <c r="I11" s="10" t="s">
        <v>201</v>
      </c>
      <c r="J11" s="10" t="s">
        <v>606</v>
      </c>
      <c r="K11" s="10" t="s">
        <v>652</v>
      </c>
    </row>
    <row r="12" spans="1:11" x14ac:dyDescent="0.25">
      <c r="A12" s="8" t="s">
        <v>296</v>
      </c>
      <c r="B12" s="8" t="s">
        <v>654</v>
      </c>
      <c r="C12" s="8" t="s">
        <v>600</v>
      </c>
      <c r="D12" s="8" t="s">
        <v>601</v>
      </c>
      <c r="E12" s="8" t="s">
        <v>618</v>
      </c>
      <c r="F12" s="8" t="s">
        <v>623</v>
      </c>
      <c r="G12" s="9">
        <v>7400</v>
      </c>
      <c r="H12" s="9">
        <v>7000</v>
      </c>
      <c r="I12" s="8" t="s">
        <v>201</v>
      </c>
      <c r="J12" s="8" t="s">
        <v>606</v>
      </c>
      <c r="K12" s="8" t="s">
        <v>656</v>
      </c>
    </row>
    <row r="13" spans="1:11" x14ac:dyDescent="0.25">
      <c r="A13" s="10" t="s">
        <v>657</v>
      </c>
      <c r="B13" s="10" t="s">
        <v>658</v>
      </c>
      <c r="C13" s="10" t="s">
        <v>600</v>
      </c>
      <c r="D13" s="10" t="s">
        <v>601</v>
      </c>
      <c r="E13" s="10" t="s">
        <v>618</v>
      </c>
      <c r="F13" s="10" t="s">
        <v>623</v>
      </c>
      <c r="G13" s="11">
        <v>7300</v>
      </c>
      <c r="H13" s="11">
        <v>6900</v>
      </c>
      <c r="I13" s="10" t="s">
        <v>201</v>
      </c>
      <c r="J13" s="10" t="s">
        <v>606</v>
      </c>
      <c r="K13" s="10" t="s">
        <v>659</v>
      </c>
    </row>
    <row r="14" spans="1:11" x14ac:dyDescent="0.25">
      <c r="A14" s="8" t="s">
        <v>328</v>
      </c>
      <c r="B14" s="8" t="s">
        <v>660</v>
      </c>
      <c r="C14" s="8" t="s">
        <v>600</v>
      </c>
      <c r="D14" s="8" t="s">
        <v>601</v>
      </c>
      <c r="E14" s="8" t="s">
        <v>618</v>
      </c>
      <c r="F14" s="8" t="s">
        <v>634</v>
      </c>
      <c r="G14" s="9">
        <v>7400</v>
      </c>
      <c r="H14" s="9">
        <v>6800</v>
      </c>
      <c r="I14" s="8" t="s">
        <v>201</v>
      </c>
      <c r="J14" s="8" t="s">
        <v>606</v>
      </c>
      <c r="K14" s="8" t="s">
        <v>662</v>
      </c>
    </row>
    <row r="15" spans="1:11" x14ac:dyDescent="0.25">
      <c r="A15" s="10" t="s">
        <v>309</v>
      </c>
      <c r="B15" s="10" t="s">
        <v>663</v>
      </c>
      <c r="C15" s="10" t="s">
        <v>600</v>
      </c>
      <c r="D15" s="10" t="s">
        <v>601</v>
      </c>
      <c r="E15" s="10" t="s">
        <v>618</v>
      </c>
      <c r="F15" s="10" t="s">
        <v>642</v>
      </c>
      <c r="G15" s="11">
        <v>7400</v>
      </c>
      <c r="H15" s="11">
        <v>6800</v>
      </c>
      <c r="I15" s="10" t="s">
        <v>201</v>
      </c>
      <c r="J15" s="10" t="s">
        <v>606</v>
      </c>
      <c r="K15" s="10" t="s">
        <v>664</v>
      </c>
    </row>
    <row r="16" spans="1:11" x14ac:dyDescent="0.25">
      <c r="A16" s="8" t="s">
        <v>296</v>
      </c>
      <c r="B16" s="8" t="s">
        <v>665</v>
      </c>
      <c r="C16" s="8" t="s">
        <v>600</v>
      </c>
      <c r="D16" s="8" t="s">
        <v>601</v>
      </c>
      <c r="E16" s="8" t="s">
        <v>666</v>
      </c>
      <c r="F16" s="8" t="s">
        <v>642</v>
      </c>
      <c r="G16" s="9">
        <v>12400</v>
      </c>
      <c r="H16" s="9">
        <v>11800</v>
      </c>
      <c r="I16" s="8" t="s">
        <v>201</v>
      </c>
      <c r="J16" s="8" t="s">
        <v>606</v>
      </c>
      <c r="K16" s="8" t="s">
        <v>667</v>
      </c>
    </row>
    <row r="17" spans="1:11" x14ac:dyDescent="0.25">
      <c r="A17" s="10" t="s">
        <v>296</v>
      </c>
      <c r="B17" s="10" t="s">
        <v>669</v>
      </c>
      <c r="C17" s="10" t="s">
        <v>600</v>
      </c>
      <c r="D17" s="10" t="s">
        <v>601</v>
      </c>
      <c r="E17" s="10" t="s">
        <v>666</v>
      </c>
      <c r="F17" s="10" t="s">
        <v>642</v>
      </c>
      <c r="G17" s="11">
        <v>14500</v>
      </c>
      <c r="H17" s="11">
        <v>12700</v>
      </c>
      <c r="I17" s="10" t="s">
        <v>201</v>
      </c>
      <c r="J17" s="10" t="s">
        <v>606</v>
      </c>
      <c r="K17" s="10" t="s">
        <v>670</v>
      </c>
    </row>
    <row r="18" spans="1:11" x14ac:dyDescent="0.25">
      <c r="A18" s="8" t="s">
        <v>598</v>
      </c>
      <c r="B18" s="8" t="s">
        <v>671</v>
      </c>
      <c r="C18" s="8" t="s">
        <v>600</v>
      </c>
      <c r="D18" s="8" t="s">
        <v>601</v>
      </c>
      <c r="E18" s="8" t="s">
        <v>666</v>
      </c>
      <c r="F18" s="8" t="s">
        <v>651</v>
      </c>
      <c r="G18" s="9">
        <v>14800</v>
      </c>
      <c r="H18" s="9">
        <v>13400</v>
      </c>
      <c r="I18" s="8" t="s">
        <v>201</v>
      </c>
      <c r="J18" s="8" t="s">
        <v>606</v>
      </c>
      <c r="K18" s="8" t="s">
        <v>672</v>
      </c>
    </row>
    <row r="19" spans="1:11" x14ac:dyDescent="0.25">
      <c r="A19" s="10" t="s">
        <v>328</v>
      </c>
      <c r="B19" s="10" t="s">
        <v>673</v>
      </c>
      <c r="C19" s="10" t="s">
        <v>600</v>
      </c>
      <c r="D19" s="10" t="s">
        <v>601</v>
      </c>
      <c r="E19" s="10" t="s">
        <v>666</v>
      </c>
      <c r="F19" s="10" t="s">
        <v>642</v>
      </c>
      <c r="G19" s="11">
        <v>14000</v>
      </c>
      <c r="H19" s="11">
        <v>12000</v>
      </c>
      <c r="I19" s="10" t="s">
        <v>201</v>
      </c>
      <c r="J19" s="10" t="s">
        <v>606</v>
      </c>
      <c r="K19" s="10" t="s">
        <v>675</v>
      </c>
    </row>
    <row r="20" spans="1:11" x14ac:dyDescent="0.25">
      <c r="A20" s="8" t="s">
        <v>598</v>
      </c>
      <c r="B20" s="8" t="s">
        <v>676</v>
      </c>
      <c r="C20" s="8" t="s">
        <v>677</v>
      </c>
      <c r="D20" s="8" t="s">
        <v>678</v>
      </c>
      <c r="E20" s="8" t="s">
        <v>679</v>
      </c>
      <c r="F20" s="8" t="s">
        <v>629</v>
      </c>
      <c r="G20" s="9">
        <v>560</v>
      </c>
      <c r="H20" s="9">
        <v>530</v>
      </c>
      <c r="I20" s="8" t="s">
        <v>201</v>
      </c>
      <c r="J20" s="8" t="s">
        <v>606</v>
      </c>
      <c r="K20" s="8" t="s">
        <v>680</v>
      </c>
    </row>
    <row r="21" spans="1:11" ht="15.75" customHeight="1" x14ac:dyDescent="0.25">
      <c r="A21" s="10" t="s">
        <v>598</v>
      </c>
      <c r="B21" s="10" t="s">
        <v>681</v>
      </c>
      <c r="C21" s="10" t="s">
        <v>677</v>
      </c>
      <c r="D21" s="10" t="s">
        <v>678</v>
      </c>
      <c r="E21" s="10" t="s">
        <v>679</v>
      </c>
      <c r="F21" s="10" t="s">
        <v>651</v>
      </c>
      <c r="G21" s="11">
        <v>560</v>
      </c>
      <c r="H21" s="11">
        <v>530</v>
      </c>
      <c r="I21" s="10" t="s">
        <v>201</v>
      </c>
      <c r="J21" s="10" t="s">
        <v>630</v>
      </c>
      <c r="K21" s="10" t="s">
        <v>682</v>
      </c>
    </row>
    <row r="22" spans="1:11" ht="15.75" customHeight="1" x14ac:dyDescent="0.25">
      <c r="A22" s="8" t="s">
        <v>296</v>
      </c>
      <c r="B22" s="8" t="s">
        <v>684</v>
      </c>
      <c r="C22" s="8" t="s">
        <v>677</v>
      </c>
      <c r="D22" s="8" t="s">
        <v>678</v>
      </c>
      <c r="E22" s="8" t="s">
        <v>679</v>
      </c>
      <c r="F22" s="8" t="s">
        <v>629</v>
      </c>
      <c r="G22" s="9">
        <v>560</v>
      </c>
      <c r="H22" s="9">
        <v>510</v>
      </c>
      <c r="I22" s="8" t="s">
        <v>201</v>
      </c>
      <c r="J22" s="8" t="s">
        <v>606</v>
      </c>
      <c r="K22" s="8" t="s">
        <v>685</v>
      </c>
    </row>
    <row r="23" spans="1:11" ht="15.75" customHeight="1" x14ac:dyDescent="0.25">
      <c r="A23" s="10" t="s">
        <v>296</v>
      </c>
      <c r="B23" s="10" t="s">
        <v>686</v>
      </c>
      <c r="C23" s="10" t="s">
        <v>677</v>
      </c>
      <c r="D23" s="10" t="s">
        <v>678</v>
      </c>
      <c r="E23" s="10" t="s">
        <v>679</v>
      </c>
      <c r="F23" s="10" t="s">
        <v>687</v>
      </c>
      <c r="G23" s="11">
        <v>540</v>
      </c>
      <c r="H23" s="11">
        <v>500</v>
      </c>
      <c r="I23" s="10" t="s">
        <v>203</v>
      </c>
      <c r="J23" s="10" t="s">
        <v>630</v>
      </c>
      <c r="K23" s="10" t="s">
        <v>688</v>
      </c>
    </row>
    <row r="24" spans="1:11" ht="15.75" customHeight="1" x14ac:dyDescent="0.25">
      <c r="A24" s="8" t="s">
        <v>609</v>
      </c>
      <c r="B24" s="8" t="s">
        <v>689</v>
      </c>
      <c r="C24" s="8" t="s">
        <v>677</v>
      </c>
      <c r="D24" s="8" t="s">
        <v>678</v>
      </c>
      <c r="E24" s="8" t="s">
        <v>679</v>
      </c>
      <c r="F24" s="8" t="s">
        <v>629</v>
      </c>
      <c r="G24" s="9">
        <v>560</v>
      </c>
      <c r="H24" s="9">
        <v>530</v>
      </c>
      <c r="I24" s="8" t="s">
        <v>201</v>
      </c>
      <c r="J24" s="8" t="s">
        <v>606</v>
      </c>
      <c r="K24" s="8" t="s">
        <v>691</v>
      </c>
    </row>
    <row r="25" spans="1:11" ht="15.75" customHeight="1" x14ac:dyDescent="0.25">
      <c r="A25" s="10" t="s">
        <v>195</v>
      </c>
      <c r="B25" s="10" t="s">
        <v>692</v>
      </c>
      <c r="C25" s="10" t="s">
        <v>677</v>
      </c>
      <c r="D25" s="10" t="s">
        <v>678</v>
      </c>
      <c r="E25" s="10" t="s">
        <v>679</v>
      </c>
      <c r="F25" s="10" t="s">
        <v>693</v>
      </c>
      <c r="G25" s="11">
        <v>500</v>
      </c>
      <c r="H25" s="11">
        <v>450</v>
      </c>
      <c r="I25" s="10" t="s">
        <v>203</v>
      </c>
      <c r="J25" s="10" t="s">
        <v>630</v>
      </c>
      <c r="K25" s="10" t="s">
        <v>694</v>
      </c>
    </row>
    <row r="26" spans="1:11" ht="15.75" customHeight="1" x14ac:dyDescent="0.25">
      <c r="A26" s="8" t="s">
        <v>309</v>
      </c>
      <c r="B26" s="8" t="s">
        <v>695</v>
      </c>
      <c r="C26" s="8" t="s">
        <v>677</v>
      </c>
      <c r="D26" s="8" t="s">
        <v>678</v>
      </c>
      <c r="E26" s="8" t="s">
        <v>679</v>
      </c>
      <c r="F26" s="8" t="s">
        <v>696</v>
      </c>
      <c r="G26" s="9">
        <v>540</v>
      </c>
      <c r="H26" s="9">
        <v>490</v>
      </c>
      <c r="I26" s="8" t="s">
        <v>203</v>
      </c>
      <c r="J26" s="8" t="s">
        <v>630</v>
      </c>
      <c r="K26" s="8" t="s">
        <v>697</v>
      </c>
    </row>
    <row r="27" spans="1:11" ht="15.75" customHeight="1" x14ac:dyDescent="0.25">
      <c r="A27" s="10" t="s">
        <v>657</v>
      </c>
      <c r="B27" s="10" t="s">
        <v>698</v>
      </c>
      <c r="C27" s="10" t="s">
        <v>700</v>
      </c>
      <c r="D27" s="10" t="s">
        <v>701</v>
      </c>
      <c r="E27" s="10" t="s">
        <v>679</v>
      </c>
      <c r="F27" s="10" t="s">
        <v>703</v>
      </c>
      <c r="G27" s="11">
        <v>220</v>
      </c>
      <c r="H27" s="11">
        <v>220</v>
      </c>
      <c r="I27" s="10" t="s">
        <v>705</v>
      </c>
      <c r="J27" s="10" t="s">
        <v>706</v>
      </c>
      <c r="K27" s="10" t="s">
        <v>707</v>
      </c>
    </row>
    <row r="28" spans="1:11" ht="15.75" customHeight="1" x14ac:dyDescent="0.25">
      <c r="A28" s="8" t="s">
        <v>657</v>
      </c>
      <c r="B28" s="8" t="s">
        <v>708</v>
      </c>
      <c r="C28" s="8" t="s">
        <v>709</v>
      </c>
      <c r="D28" s="8" t="s">
        <v>701</v>
      </c>
      <c r="E28" s="8" t="s">
        <v>679</v>
      </c>
      <c r="F28" s="8" t="s">
        <v>710</v>
      </c>
      <c r="G28" s="9">
        <v>210</v>
      </c>
      <c r="H28" s="9">
        <v>210</v>
      </c>
      <c r="I28" s="8" t="s">
        <v>711</v>
      </c>
      <c r="J28" s="8" t="s">
        <v>630</v>
      </c>
      <c r="K28" s="8" t="s">
        <v>712</v>
      </c>
    </row>
    <row r="29" spans="1:11" ht="15.75" customHeight="1" x14ac:dyDescent="0.25">
      <c r="A29" s="10" t="s">
        <v>657</v>
      </c>
      <c r="B29" s="10" t="s">
        <v>713</v>
      </c>
      <c r="C29" s="10" t="s">
        <v>714</v>
      </c>
      <c r="D29" s="10" t="s">
        <v>701</v>
      </c>
      <c r="E29" s="10" t="s">
        <v>679</v>
      </c>
      <c r="F29" s="10" t="s">
        <v>715</v>
      </c>
      <c r="G29" s="11">
        <v>210</v>
      </c>
      <c r="H29" s="11">
        <v>210</v>
      </c>
      <c r="I29" s="10" t="s">
        <v>711</v>
      </c>
      <c r="J29" s="10" t="s">
        <v>630</v>
      </c>
      <c r="K29" s="10" t="s">
        <v>717</v>
      </c>
    </row>
    <row r="30" spans="1:11" ht="15.75" customHeight="1" x14ac:dyDescent="0.25">
      <c r="A30" s="8" t="s">
        <v>609</v>
      </c>
      <c r="B30" s="8" t="s">
        <v>718</v>
      </c>
      <c r="C30" s="8" t="s">
        <v>719</v>
      </c>
      <c r="D30" s="8" t="s">
        <v>701</v>
      </c>
      <c r="E30" s="8" t="s">
        <v>679</v>
      </c>
      <c r="F30" s="8" t="s">
        <v>703</v>
      </c>
      <c r="G30" s="9">
        <v>180</v>
      </c>
      <c r="H30" s="9">
        <v>180</v>
      </c>
      <c r="I30" s="8" t="s">
        <v>711</v>
      </c>
      <c r="J30" s="8" t="s">
        <v>706</v>
      </c>
      <c r="K30" s="8" t="s">
        <v>720</v>
      </c>
    </row>
    <row r="31" spans="1:11" ht="15.75" customHeight="1" x14ac:dyDescent="0.25">
      <c r="A31" s="10" t="s">
        <v>609</v>
      </c>
      <c r="B31" s="10" t="s">
        <v>721</v>
      </c>
      <c r="C31" s="10" t="s">
        <v>722</v>
      </c>
      <c r="D31" s="10" t="s">
        <v>701</v>
      </c>
      <c r="E31" s="10" t="s">
        <v>679</v>
      </c>
      <c r="F31" s="10" t="s">
        <v>723</v>
      </c>
      <c r="G31" s="11">
        <v>227</v>
      </c>
      <c r="H31" s="11">
        <v>227</v>
      </c>
      <c r="I31" s="10" t="s">
        <v>711</v>
      </c>
      <c r="J31" s="10" t="s">
        <v>606</v>
      </c>
      <c r="K31" s="10" t="s">
        <v>724</v>
      </c>
    </row>
    <row r="32" spans="1:11" ht="15.75" customHeight="1" x14ac:dyDescent="0.25">
      <c r="A32" s="8" t="s">
        <v>609</v>
      </c>
      <c r="B32" s="8" t="s">
        <v>725</v>
      </c>
      <c r="C32" s="8" t="s">
        <v>727</v>
      </c>
      <c r="D32" s="8" t="s">
        <v>701</v>
      </c>
      <c r="E32" s="8" t="s">
        <v>679</v>
      </c>
      <c r="F32" s="8" t="s">
        <v>728</v>
      </c>
      <c r="G32" s="9">
        <v>215</v>
      </c>
      <c r="H32" s="9">
        <v>215</v>
      </c>
      <c r="I32" s="8" t="s">
        <v>729</v>
      </c>
      <c r="J32" s="8" t="s">
        <v>630</v>
      </c>
      <c r="K32" s="8" t="s">
        <v>730</v>
      </c>
    </row>
    <row r="33" spans="1:11" ht="15.75" customHeight="1" x14ac:dyDescent="0.25">
      <c r="A33" s="10" t="s">
        <v>609</v>
      </c>
      <c r="B33" s="10" t="s">
        <v>731</v>
      </c>
      <c r="C33" s="10" t="s">
        <v>732</v>
      </c>
      <c r="D33" s="10" t="s">
        <v>701</v>
      </c>
      <c r="E33" s="10" t="s">
        <v>679</v>
      </c>
      <c r="F33" s="10" t="s">
        <v>715</v>
      </c>
      <c r="G33" s="11">
        <v>180</v>
      </c>
      <c r="H33" s="11">
        <v>180</v>
      </c>
      <c r="I33" s="10" t="s">
        <v>711</v>
      </c>
      <c r="J33" s="10" t="s">
        <v>630</v>
      </c>
      <c r="K33" s="10" t="s">
        <v>733</v>
      </c>
    </row>
    <row r="34" spans="1:11" ht="15.75" customHeight="1" x14ac:dyDescent="0.25">
      <c r="A34" s="8" t="s">
        <v>734</v>
      </c>
      <c r="B34" s="8" t="s">
        <v>735</v>
      </c>
      <c r="C34" s="8" t="s">
        <v>722</v>
      </c>
      <c r="D34" s="8" t="s">
        <v>701</v>
      </c>
      <c r="E34" s="8" t="s">
        <v>679</v>
      </c>
      <c r="F34" s="8" t="s">
        <v>736</v>
      </c>
      <c r="G34" s="9">
        <v>200</v>
      </c>
      <c r="H34" s="9">
        <v>200</v>
      </c>
      <c r="I34" s="8" t="s">
        <v>711</v>
      </c>
      <c r="J34" s="8" t="s">
        <v>706</v>
      </c>
      <c r="K34" s="8" t="s">
        <v>738</v>
      </c>
    </row>
    <row r="35" spans="1:11" ht="15.75" customHeight="1" x14ac:dyDescent="0.25">
      <c r="A35" s="10" t="s">
        <v>734</v>
      </c>
      <c r="B35" s="10" t="s">
        <v>739</v>
      </c>
      <c r="C35" s="10" t="s">
        <v>740</v>
      </c>
      <c r="D35" s="10" t="s">
        <v>701</v>
      </c>
      <c r="E35" s="10" t="s">
        <v>741</v>
      </c>
      <c r="F35" s="10" t="s">
        <v>742</v>
      </c>
      <c r="G35" s="11">
        <v>260</v>
      </c>
      <c r="H35" s="11">
        <v>260</v>
      </c>
      <c r="I35" s="10" t="s">
        <v>743</v>
      </c>
      <c r="J35" s="10" t="s">
        <v>606</v>
      </c>
      <c r="K35" s="10" t="s">
        <v>744</v>
      </c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35"/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" customWidth="1"/>
    <col min="2" max="2" width="29" customWidth="1"/>
    <col min="3" max="3" width="14" customWidth="1"/>
    <col min="4" max="4" width="17" customWidth="1"/>
    <col min="5" max="5" width="15" customWidth="1"/>
    <col min="6" max="6" width="14" customWidth="1"/>
    <col min="7" max="7" width="15" customWidth="1"/>
    <col min="8" max="8" width="20" customWidth="1"/>
    <col min="9" max="9" width="16" customWidth="1"/>
    <col min="10" max="10" width="19" customWidth="1"/>
    <col min="11" max="11" width="35" customWidth="1"/>
    <col min="12" max="26" width="8.7109375" customWidth="1"/>
  </cols>
  <sheetData>
    <row r="1" spans="1:11" ht="31.5" customHeight="1" x14ac:dyDescent="0.25">
      <c r="A1" s="2" t="s">
        <v>1</v>
      </c>
      <c r="B1" s="2" t="s">
        <v>4</v>
      </c>
      <c r="C1" s="2" t="s">
        <v>767</v>
      </c>
      <c r="D1" s="2" t="s">
        <v>768</v>
      </c>
      <c r="E1" s="2" t="s">
        <v>769</v>
      </c>
      <c r="F1" s="2" t="s">
        <v>47</v>
      </c>
      <c r="G1" s="2" t="s">
        <v>770</v>
      </c>
      <c r="H1" s="2" t="s">
        <v>771</v>
      </c>
      <c r="I1" s="2" t="s">
        <v>772</v>
      </c>
      <c r="J1" s="2" t="s">
        <v>774</v>
      </c>
      <c r="K1" s="2" t="s">
        <v>778</v>
      </c>
    </row>
    <row r="2" spans="1:11" x14ac:dyDescent="0.25">
      <c r="A2" s="8" t="s">
        <v>244</v>
      </c>
      <c r="B2" s="8" t="s">
        <v>785</v>
      </c>
      <c r="C2" s="9">
        <v>550</v>
      </c>
      <c r="D2" s="8" t="s">
        <v>790</v>
      </c>
      <c r="E2" s="8" t="s">
        <v>792</v>
      </c>
      <c r="F2" s="8" t="s">
        <v>119</v>
      </c>
      <c r="G2" s="8" t="s">
        <v>795</v>
      </c>
      <c r="H2" s="8" t="s">
        <v>203</v>
      </c>
      <c r="I2" s="9">
        <v>120</v>
      </c>
      <c r="J2" s="9">
        <v>5</v>
      </c>
      <c r="K2" s="8" t="s">
        <v>798</v>
      </c>
    </row>
    <row r="3" spans="1:11" x14ac:dyDescent="0.25">
      <c r="A3" s="10" t="s">
        <v>244</v>
      </c>
      <c r="B3" s="10" t="s">
        <v>804</v>
      </c>
      <c r="C3" s="11">
        <v>650</v>
      </c>
      <c r="D3" s="10" t="s">
        <v>790</v>
      </c>
      <c r="E3" s="10" t="s">
        <v>792</v>
      </c>
      <c r="F3" s="10" t="s">
        <v>119</v>
      </c>
      <c r="G3" s="10" t="s">
        <v>795</v>
      </c>
      <c r="H3" s="10" t="s">
        <v>203</v>
      </c>
      <c r="I3" s="11">
        <v>120</v>
      </c>
      <c r="J3" s="11">
        <v>5</v>
      </c>
      <c r="K3" s="10" t="s">
        <v>808</v>
      </c>
    </row>
    <row r="4" spans="1:11" x14ac:dyDescent="0.25">
      <c r="A4" s="8" t="s">
        <v>244</v>
      </c>
      <c r="B4" s="8" t="s">
        <v>812</v>
      </c>
      <c r="C4" s="9">
        <v>750</v>
      </c>
      <c r="D4" s="8" t="s">
        <v>790</v>
      </c>
      <c r="E4" s="8" t="s">
        <v>792</v>
      </c>
      <c r="F4" s="8" t="s">
        <v>119</v>
      </c>
      <c r="G4" s="8" t="s">
        <v>795</v>
      </c>
      <c r="H4" s="8" t="s">
        <v>203</v>
      </c>
      <c r="I4" s="9">
        <v>120</v>
      </c>
      <c r="J4" s="9">
        <v>5</v>
      </c>
      <c r="K4" s="8" t="s">
        <v>815</v>
      </c>
    </row>
    <row r="5" spans="1:11" x14ac:dyDescent="0.25">
      <c r="A5" s="10" t="s">
        <v>244</v>
      </c>
      <c r="B5" s="10" t="s">
        <v>819</v>
      </c>
      <c r="C5" s="11">
        <v>650</v>
      </c>
      <c r="D5" s="10" t="s">
        <v>790</v>
      </c>
      <c r="E5" s="10" t="s">
        <v>822</v>
      </c>
      <c r="F5" s="10" t="s">
        <v>119</v>
      </c>
      <c r="G5" s="10" t="s">
        <v>795</v>
      </c>
      <c r="H5" s="10" t="s">
        <v>203</v>
      </c>
      <c r="I5" s="11">
        <v>120</v>
      </c>
      <c r="J5" s="11">
        <v>5</v>
      </c>
      <c r="K5" s="10" t="s">
        <v>833</v>
      </c>
    </row>
    <row r="6" spans="1:11" x14ac:dyDescent="0.25">
      <c r="A6" s="8" t="s">
        <v>244</v>
      </c>
      <c r="B6" s="8" t="s">
        <v>836</v>
      </c>
      <c r="C6" s="9">
        <v>750</v>
      </c>
      <c r="D6" s="8" t="s">
        <v>790</v>
      </c>
      <c r="E6" s="8" t="s">
        <v>822</v>
      </c>
      <c r="F6" s="8" t="s">
        <v>119</v>
      </c>
      <c r="G6" s="8" t="s">
        <v>795</v>
      </c>
      <c r="H6" s="8" t="s">
        <v>203</v>
      </c>
      <c r="I6" s="9">
        <v>120</v>
      </c>
      <c r="J6" s="9">
        <v>5</v>
      </c>
      <c r="K6" s="8" t="s">
        <v>833</v>
      </c>
    </row>
    <row r="7" spans="1:11" x14ac:dyDescent="0.25">
      <c r="A7" s="10" t="s">
        <v>244</v>
      </c>
      <c r="B7" s="10" t="s">
        <v>842</v>
      </c>
      <c r="C7" s="11">
        <v>550</v>
      </c>
      <c r="D7" s="10" t="s">
        <v>843</v>
      </c>
      <c r="E7" s="10" t="s">
        <v>845</v>
      </c>
      <c r="F7" s="10" t="s">
        <v>119</v>
      </c>
      <c r="G7" s="10" t="s">
        <v>795</v>
      </c>
      <c r="H7" s="10" t="s">
        <v>203</v>
      </c>
      <c r="I7" s="11">
        <v>135</v>
      </c>
      <c r="J7" s="11">
        <v>10</v>
      </c>
      <c r="K7" s="10" t="s">
        <v>847</v>
      </c>
    </row>
    <row r="8" spans="1:11" x14ac:dyDescent="0.25">
      <c r="A8" s="8" t="s">
        <v>244</v>
      </c>
      <c r="B8" s="8" t="s">
        <v>851</v>
      </c>
      <c r="C8" s="9">
        <v>650</v>
      </c>
      <c r="D8" s="8" t="s">
        <v>843</v>
      </c>
      <c r="E8" s="8" t="s">
        <v>845</v>
      </c>
      <c r="F8" s="8" t="s">
        <v>119</v>
      </c>
      <c r="G8" s="8" t="s">
        <v>795</v>
      </c>
      <c r="H8" s="8" t="s">
        <v>203</v>
      </c>
      <c r="I8" s="9">
        <v>135</v>
      </c>
      <c r="J8" s="9">
        <v>10</v>
      </c>
      <c r="K8" s="8" t="s">
        <v>854</v>
      </c>
    </row>
    <row r="9" spans="1:11" x14ac:dyDescent="0.25">
      <c r="A9" s="10" t="s">
        <v>244</v>
      </c>
      <c r="B9" s="10" t="s">
        <v>855</v>
      </c>
      <c r="C9" s="11">
        <v>750</v>
      </c>
      <c r="D9" s="10" t="s">
        <v>843</v>
      </c>
      <c r="E9" s="10" t="s">
        <v>845</v>
      </c>
      <c r="F9" s="10" t="s">
        <v>119</v>
      </c>
      <c r="G9" s="10" t="s">
        <v>795</v>
      </c>
      <c r="H9" s="10" t="s">
        <v>203</v>
      </c>
      <c r="I9" s="11">
        <v>135</v>
      </c>
      <c r="J9" s="11">
        <v>10</v>
      </c>
      <c r="K9" s="10" t="s">
        <v>857</v>
      </c>
    </row>
    <row r="10" spans="1:11" x14ac:dyDescent="0.25">
      <c r="A10" s="8" t="s">
        <v>244</v>
      </c>
      <c r="B10" s="8" t="s">
        <v>858</v>
      </c>
      <c r="C10" s="9">
        <v>850</v>
      </c>
      <c r="D10" s="8" t="s">
        <v>843</v>
      </c>
      <c r="E10" s="8" t="s">
        <v>845</v>
      </c>
      <c r="F10" s="8" t="s">
        <v>119</v>
      </c>
      <c r="G10" s="8" t="s">
        <v>795</v>
      </c>
      <c r="H10" s="8" t="s">
        <v>203</v>
      </c>
      <c r="I10" s="9">
        <v>135</v>
      </c>
      <c r="J10" s="9">
        <v>10</v>
      </c>
      <c r="K10" s="8" t="s">
        <v>861</v>
      </c>
    </row>
    <row r="11" spans="1:11" x14ac:dyDescent="0.25">
      <c r="A11" s="10" t="s">
        <v>244</v>
      </c>
      <c r="B11" s="10" t="s">
        <v>863</v>
      </c>
      <c r="C11" s="11">
        <v>1000</v>
      </c>
      <c r="D11" s="10" t="s">
        <v>843</v>
      </c>
      <c r="E11" s="10" t="s">
        <v>845</v>
      </c>
      <c r="F11" s="10" t="s">
        <v>119</v>
      </c>
      <c r="G11" s="10" t="s">
        <v>795</v>
      </c>
      <c r="H11" s="10" t="s">
        <v>203</v>
      </c>
      <c r="I11" s="11">
        <v>135</v>
      </c>
      <c r="J11" s="11">
        <v>10</v>
      </c>
      <c r="K11" s="10" t="s">
        <v>865</v>
      </c>
    </row>
    <row r="12" spans="1:11" x14ac:dyDescent="0.25">
      <c r="A12" s="8" t="s">
        <v>244</v>
      </c>
      <c r="B12" s="8" t="s">
        <v>866</v>
      </c>
      <c r="C12" s="9">
        <v>650</v>
      </c>
      <c r="D12" s="8" t="s">
        <v>843</v>
      </c>
      <c r="E12" s="8" t="s">
        <v>845</v>
      </c>
      <c r="F12" s="8" t="s">
        <v>119</v>
      </c>
      <c r="G12" s="8" t="s">
        <v>868</v>
      </c>
      <c r="H12" s="8" t="s">
        <v>871</v>
      </c>
      <c r="I12" s="9">
        <v>120</v>
      </c>
      <c r="J12" s="9">
        <v>7</v>
      </c>
      <c r="K12" s="8" t="s">
        <v>872</v>
      </c>
    </row>
    <row r="13" spans="1:11" x14ac:dyDescent="0.25">
      <c r="A13" s="10" t="s">
        <v>244</v>
      </c>
      <c r="B13" s="10" t="s">
        <v>874</v>
      </c>
      <c r="C13" s="11">
        <v>750</v>
      </c>
      <c r="D13" s="10" t="s">
        <v>843</v>
      </c>
      <c r="E13" s="10" t="s">
        <v>845</v>
      </c>
      <c r="F13" s="10" t="s">
        <v>119</v>
      </c>
      <c r="G13" s="10" t="s">
        <v>868</v>
      </c>
      <c r="H13" s="10" t="s">
        <v>871</v>
      </c>
      <c r="I13" s="11">
        <v>120</v>
      </c>
      <c r="J13" s="11">
        <v>7</v>
      </c>
      <c r="K13" s="10" t="s">
        <v>872</v>
      </c>
    </row>
    <row r="14" spans="1:11" x14ac:dyDescent="0.25">
      <c r="A14" s="8" t="s">
        <v>244</v>
      </c>
      <c r="B14" s="8" t="s">
        <v>881</v>
      </c>
      <c r="C14" s="9">
        <v>850</v>
      </c>
      <c r="D14" s="8" t="s">
        <v>843</v>
      </c>
      <c r="E14" s="8" t="s">
        <v>845</v>
      </c>
      <c r="F14" s="8" t="s">
        <v>119</v>
      </c>
      <c r="G14" s="8" t="s">
        <v>868</v>
      </c>
      <c r="H14" s="8" t="s">
        <v>871</v>
      </c>
      <c r="I14" s="9">
        <v>120</v>
      </c>
      <c r="J14" s="9">
        <v>7</v>
      </c>
      <c r="K14" s="8" t="s">
        <v>872</v>
      </c>
    </row>
    <row r="15" spans="1:11" x14ac:dyDescent="0.25">
      <c r="A15" s="10" t="s">
        <v>244</v>
      </c>
      <c r="B15" s="10" t="s">
        <v>887</v>
      </c>
      <c r="C15" s="11">
        <v>1000</v>
      </c>
      <c r="D15" s="10" t="s">
        <v>843</v>
      </c>
      <c r="E15" s="10" t="s">
        <v>845</v>
      </c>
      <c r="F15" s="10" t="s">
        <v>119</v>
      </c>
      <c r="G15" s="10" t="s">
        <v>868</v>
      </c>
      <c r="H15" s="10" t="s">
        <v>871</v>
      </c>
      <c r="I15" s="11">
        <v>140</v>
      </c>
      <c r="J15" s="11">
        <v>7</v>
      </c>
      <c r="K15" s="10" t="s">
        <v>890</v>
      </c>
    </row>
    <row r="16" spans="1:11" x14ac:dyDescent="0.25">
      <c r="A16" s="8" t="s">
        <v>244</v>
      </c>
      <c r="B16" s="8" t="s">
        <v>894</v>
      </c>
      <c r="C16" s="9">
        <v>750</v>
      </c>
      <c r="D16" s="8" t="s">
        <v>897</v>
      </c>
      <c r="E16" s="8" t="s">
        <v>845</v>
      </c>
      <c r="F16" s="8" t="s">
        <v>119</v>
      </c>
      <c r="G16" s="8" t="s">
        <v>795</v>
      </c>
      <c r="H16" s="8" t="s">
        <v>203</v>
      </c>
      <c r="I16" s="9">
        <v>135</v>
      </c>
      <c r="J16" s="9">
        <v>10</v>
      </c>
      <c r="K16" s="8" t="s">
        <v>905</v>
      </c>
    </row>
    <row r="17" spans="1:11" x14ac:dyDescent="0.25">
      <c r="A17" s="10" t="s">
        <v>244</v>
      </c>
      <c r="B17" s="10" t="s">
        <v>906</v>
      </c>
      <c r="C17" s="11">
        <v>850</v>
      </c>
      <c r="D17" s="10" t="s">
        <v>897</v>
      </c>
      <c r="E17" s="10" t="s">
        <v>845</v>
      </c>
      <c r="F17" s="10" t="s">
        <v>119</v>
      </c>
      <c r="G17" s="10" t="s">
        <v>795</v>
      </c>
      <c r="H17" s="10" t="s">
        <v>203</v>
      </c>
      <c r="I17" s="11">
        <v>135</v>
      </c>
      <c r="J17" s="11">
        <v>10</v>
      </c>
      <c r="K17" s="10" t="s">
        <v>905</v>
      </c>
    </row>
    <row r="18" spans="1:11" x14ac:dyDescent="0.25">
      <c r="A18" s="8" t="s">
        <v>244</v>
      </c>
      <c r="B18" s="8" t="s">
        <v>911</v>
      </c>
      <c r="C18" s="9">
        <v>1000</v>
      </c>
      <c r="D18" s="8" t="s">
        <v>897</v>
      </c>
      <c r="E18" s="8" t="s">
        <v>845</v>
      </c>
      <c r="F18" s="8" t="s">
        <v>119</v>
      </c>
      <c r="G18" s="8" t="s">
        <v>795</v>
      </c>
      <c r="H18" s="8" t="s">
        <v>203</v>
      </c>
      <c r="I18" s="9">
        <v>135</v>
      </c>
      <c r="J18" s="9">
        <v>10</v>
      </c>
      <c r="K18" s="8" t="s">
        <v>905</v>
      </c>
    </row>
    <row r="19" spans="1:11" x14ac:dyDescent="0.25">
      <c r="A19" s="10" t="s">
        <v>244</v>
      </c>
      <c r="B19" s="10" t="s">
        <v>917</v>
      </c>
      <c r="C19" s="11">
        <v>750</v>
      </c>
      <c r="D19" s="10" t="s">
        <v>897</v>
      </c>
      <c r="E19" s="10" t="s">
        <v>845</v>
      </c>
      <c r="F19" s="10" t="s">
        <v>920</v>
      </c>
      <c r="G19" s="10" t="s">
        <v>795</v>
      </c>
      <c r="H19" s="10" t="s">
        <v>203</v>
      </c>
      <c r="I19" s="11">
        <v>92</v>
      </c>
      <c r="J19" s="11">
        <v>7</v>
      </c>
      <c r="K19" s="10" t="s">
        <v>922</v>
      </c>
    </row>
    <row r="20" spans="1:11" x14ac:dyDescent="0.25">
      <c r="A20" s="8" t="s">
        <v>244</v>
      </c>
      <c r="B20" s="8" t="s">
        <v>923</v>
      </c>
      <c r="C20" s="9">
        <v>850</v>
      </c>
      <c r="D20" s="8" t="s">
        <v>897</v>
      </c>
      <c r="E20" s="8" t="s">
        <v>845</v>
      </c>
      <c r="F20" s="8" t="s">
        <v>920</v>
      </c>
      <c r="G20" s="8" t="s">
        <v>868</v>
      </c>
      <c r="H20" s="8" t="s">
        <v>871</v>
      </c>
      <c r="I20" s="9">
        <v>92</v>
      </c>
      <c r="J20" s="9">
        <v>10</v>
      </c>
      <c r="K20" s="8" t="s">
        <v>927</v>
      </c>
    </row>
    <row r="21" spans="1:11" ht="15.75" customHeight="1" x14ac:dyDescent="0.25">
      <c r="A21" s="10" t="s">
        <v>931</v>
      </c>
      <c r="B21" s="10" t="s">
        <v>933</v>
      </c>
      <c r="C21" s="11">
        <v>500</v>
      </c>
      <c r="D21" s="10" t="s">
        <v>843</v>
      </c>
      <c r="E21" s="10" t="s">
        <v>822</v>
      </c>
      <c r="F21" s="10" t="s">
        <v>119</v>
      </c>
      <c r="G21" s="10" t="s">
        <v>795</v>
      </c>
      <c r="H21" s="10" t="s">
        <v>203</v>
      </c>
      <c r="I21" s="11">
        <v>120</v>
      </c>
      <c r="J21" s="11">
        <v>7</v>
      </c>
      <c r="K21" s="10" t="s">
        <v>941</v>
      </c>
    </row>
    <row r="22" spans="1:11" ht="15.75" customHeight="1" x14ac:dyDescent="0.25">
      <c r="A22" s="8" t="s">
        <v>931</v>
      </c>
      <c r="B22" s="8" t="s">
        <v>943</v>
      </c>
      <c r="C22" s="9">
        <v>650</v>
      </c>
      <c r="D22" s="8" t="s">
        <v>843</v>
      </c>
      <c r="E22" s="8" t="s">
        <v>822</v>
      </c>
      <c r="F22" s="8" t="s">
        <v>119</v>
      </c>
      <c r="G22" s="8" t="s">
        <v>795</v>
      </c>
      <c r="H22" s="8" t="s">
        <v>203</v>
      </c>
      <c r="I22" s="9">
        <v>120</v>
      </c>
      <c r="J22" s="9">
        <v>7</v>
      </c>
      <c r="K22" s="8" t="s">
        <v>951</v>
      </c>
    </row>
    <row r="23" spans="1:11" ht="15.75" customHeight="1" x14ac:dyDescent="0.25">
      <c r="A23" s="10" t="s">
        <v>931</v>
      </c>
      <c r="B23" s="10" t="s">
        <v>953</v>
      </c>
      <c r="C23" s="11">
        <v>550</v>
      </c>
      <c r="D23" s="10" t="s">
        <v>843</v>
      </c>
      <c r="E23" s="10" t="s">
        <v>845</v>
      </c>
      <c r="F23" s="10" t="s">
        <v>119</v>
      </c>
      <c r="G23" s="10" t="s">
        <v>795</v>
      </c>
      <c r="H23" s="10" t="s">
        <v>203</v>
      </c>
      <c r="I23" s="11">
        <v>120</v>
      </c>
      <c r="J23" s="11">
        <v>10</v>
      </c>
      <c r="K23" s="10" t="s">
        <v>959</v>
      </c>
    </row>
    <row r="24" spans="1:11" ht="15.75" customHeight="1" x14ac:dyDescent="0.25">
      <c r="A24" s="8" t="s">
        <v>931</v>
      </c>
      <c r="B24" s="8" t="s">
        <v>962</v>
      </c>
      <c r="C24" s="9">
        <v>650</v>
      </c>
      <c r="D24" s="8" t="s">
        <v>843</v>
      </c>
      <c r="E24" s="8" t="s">
        <v>845</v>
      </c>
      <c r="F24" s="8" t="s">
        <v>119</v>
      </c>
      <c r="G24" s="8" t="s">
        <v>795</v>
      </c>
      <c r="H24" s="8" t="s">
        <v>203</v>
      </c>
      <c r="I24" s="9">
        <v>120</v>
      </c>
      <c r="J24" s="9">
        <v>10</v>
      </c>
      <c r="K24" s="8" t="s">
        <v>959</v>
      </c>
    </row>
    <row r="25" spans="1:11" ht="15.75" customHeight="1" x14ac:dyDescent="0.25">
      <c r="A25" s="10" t="s">
        <v>931</v>
      </c>
      <c r="B25" s="10" t="s">
        <v>968</v>
      </c>
      <c r="C25" s="11">
        <v>750</v>
      </c>
      <c r="D25" s="10" t="s">
        <v>843</v>
      </c>
      <c r="E25" s="10" t="s">
        <v>845</v>
      </c>
      <c r="F25" s="10" t="s">
        <v>119</v>
      </c>
      <c r="G25" s="10" t="s">
        <v>795</v>
      </c>
      <c r="H25" s="10" t="s">
        <v>203</v>
      </c>
      <c r="I25" s="11">
        <v>120</v>
      </c>
      <c r="J25" s="11">
        <v>10</v>
      </c>
      <c r="K25" s="10" t="s">
        <v>959</v>
      </c>
    </row>
    <row r="26" spans="1:11" ht="15.75" customHeight="1" x14ac:dyDescent="0.25">
      <c r="A26" s="8" t="s">
        <v>931</v>
      </c>
      <c r="B26" s="8" t="s">
        <v>974</v>
      </c>
      <c r="C26" s="9">
        <v>850</v>
      </c>
      <c r="D26" s="8" t="s">
        <v>843</v>
      </c>
      <c r="E26" s="8" t="s">
        <v>845</v>
      </c>
      <c r="F26" s="8" t="s">
        <v>119</v>
      </c>
      <c r="G26" s="8" t="s">
        <v>795</v>
      </c>
      <c r="H26" s="8" t="s">
        <v>203</v>
      </c>
      <c r="I26" s="9">
        <v>135</v>
      </c>
      <c r="J26" s="9">
        <v>10</v>
      </c>
      <c r="K26" s="8" t="s">
        <v>959</v>
      </c>
    </row>
    <row r="27" spans="1:11" ht="15.75" customHeight="1" x14ac:dyDescent="0.25">
      <c r="A27" s="10" t="s">
        <v>931</v>
      </c>
      <c r="B27" s="10" t="s">
        <v>984</v>
      </c>
      <c r="C27" s="11">
        <v>1000</v>
      </c>
      <c r="D27" s="10" t="s">
        <v>843</v>
      </c>
      <c r="E27" s="10" t="s">
        <v>845</v>
      </c>
      <c r="F27" s="10" t="s">
        <v>119</v>
      </c>
      <c r="G27" s="10" t="s">
        <v>795</v>
      </c>
      <c r="H27" s="10" t="s">
        <v>203</v>
      </c>
      <c r="I27" s="11">
        <v>135</v>
      </c>
      <c r="J27" s="11">
        <v>10</v>
      </c>
      <c r="K27" s="10" t="s">
        <v>988</v>
      </c>
    </row>
    <row r="28" spans="1:11" ht="15.75" customHeight="1" x14ac:dyDescent="0.25">
      <c r="A28" s="8" t="s">
        <v>931</v>
      </c>
      <c r="B28" s="8" t="s">
        <v>991</v>
      </c>
      <c r="C28" s="9">
        <v>750</v>
      </c>
      <c r="D28" s="8" t="s">
        <v>843</v>
      </c>
      <c r="E28" s="8" t="s">
        <v>845</v>
      </c>
      <c r="F28" s="8" t="s">
        <v>119</v>
      </c>
      <c r="G28" s="8" t="s">
        <v>996</v>
      </c>
      <c r="H28" s="8" t="s">
        <v>998</v>
      </c>
      <c r="I28" s="9">
        <v>135</v>
      </c>
      <c r="J28" s="9">
        <v>12</v>
      </c>
      <c r="K28" s="8" t="s">
        <v>1000</v>
      </c>
    </row>
    <row r="29" spans="1:11" ht="15.75" customHeight="1" x14ac:dyDescent="0.25">
      <c r="A29" s="10" t="s">
        <v>931</v>
      </c>
      <c r="B29" s="10" t="s">
        <v>1004</v>
      </c>
      <c r="C29" s="11">
        <v>850</v>
      </c>
      <c r="D29" s="10" t="s">
        <v>843</v>
      </c>
      <c r="E29" s="10" t="s">
        <v>845</v>
      </c>
      <c r="F29" s="10" t="s">
        <v>119</v>
      </c>
      <c r="G29" s="10" t="s">
        <v>996</v>
      </c>
      <c r="H29" s="10" t="s">
        <v>998</v>
      </c>
      <c r="I29" s="11">
        <v>135</v>
      </c>
      <c r="J29" s="11">
        <v>12</v>
      </c>
      <c r="K29" s="10" t="s">
        <v>1000</v>
      </c>
    </row>
    <row r="30" spans="1:11" ht="15.75" customHeight="1" x14ac:dyDescent="0.25">
      <c r="A30" s="8" t="s">
        <v>931</v>
      </c>
      <c r="B30" s="8" t="s">
        <v>1014</v>
      </c>
      <c r="C30" s="9">
        <v>1000</v>
      </c>
      <c r="D30" s="8" t="s">
        <v>843</v>
      </c>
      <c r="E30" s="8" t="s">
        <v>845</v>
      </c>
      <c r="F30" s="8" t="s">
        <v>119</v>
      </c>
      <c r="G30" s="8" t="s">
        <v>996</v>
      </c>
      <c r="H30" s="8" t="s">
        <v>998</v>
      </c>
      <c r="I30" s="9">
        <v>135</v>
      </c>
      <c r="J30" s="9">
        <v>12</v>
      </c>
      <c r="K30" s="8" t="s">
        <v>1000</v>
      </c>
    </row>
    <row r="31" spans="1:11" ht="15.75" customHeight="1" x14ac:dyDescent="0.25">
      <c r="A31" s="10" t="s">
        <v>931</v>
      </c>
      <c r="B31" s="10" t="s">
        <v>1022</v>
      </c>
      <c r="C31" s="11">
        <v>850</v>
      </c>
      <c r="D31" s="10" t="s">
        <v>897</v>
      </c>
      <c r="E31" s="10" t="s">
        <v>845</v>
      </c>
      <c r="F31" s="10" t="s">
        <v>119</v>
      </c>
      <c r="G31" s="10" t="s">
        <v>996</v>
      </c>
      <c r="H31" s="10" t="s">
        <v>998</v>
      </c>
      <c r="I31" s="11">
        <v>135</v>
      </c>
      <c r="J31" s="11">
        <v>12</v>
      </c>
      <c r="K31" s="10" t="s">
        <v>1027</v>
      </c>
    </row>
    <row r="32" spans="1:11" ht="15.75" customHeight="1" x14ac:dyDescent="0.25">
      <c r="A32" s="8" t="s">
        <v>931</v>
      </c>
      <c r="B32" s="8" t="s">
        <v>1029</v>
      </c>
      <c r="C32" s="9">
        <v>1000</v>
      </c>
      <c r="D32" s="8" t="s">
        <v>897</v>
      </c>
      <c r="E32" s="8" t="s">
        <v>845</v>
      </c>
      <c r="F32" s="8" t="s">
        <v>119</v>
      </c>
      <c r="G32" s="8" t="s">
        <v>996</v>
      </c>
      <c r="H32" s="8" t="s">
        <v>998</v>
      </c>
      <c r="I32" s="9">
        <v>135</v>
      </c>
      <c r="J32" s="9">
        <v>12</v>
      </c>
      <c r="K32" s="8" t="s">
        <v>1027</v>
      </c>
    </row>
    <row r="33" spans="1:11" ht="15.75" customHeight="1" x14ac:dyDescent="0.25">
      <c r="A33" s="10" t="s">
        <v>931</v>
      </c>
      <c r="B33" s="10" t="s">
        <v>1036</v>
      </c>
      <c r="C33" s="11">
        <v>750</v>
      </c>
      <c r="D33" s="10" t="s">
        <v>1038</v>
      </c>
      <c r="E33" s="10" t="s">
        <v>845</v>
      </c>
      <c r="F33" s="10" t="s">
        <v>119</v>
      </c>
      <c r="G33" s="10" t="s">
        <v>795</v>
      </c>
      <c r="H33" s="10" t="s">
        <v>203</v>
      </c>
      <c r="I33" s="11">
        <v>135</v>
      </c>
      <c r="J33" s="11">
        <v>12</v>
      </c>
      <c r="K33" s="10" t="s">
        <v>1041</v>
      </c>
    </row>
    <row r="34" spans="1:11" ht="15.75" customHeight="1" x14ac:dyDescent="0.25">
      <c r="A34" s="8" t="s">
        <v>931</v>
      </c>
      <c r="B34" s="8" t="s">
        <v>1046</v>
      </c>
      <c r="C34" s="9">
        <v>1000</v>
      </c>
      <c r="D34" s="8" t="s">
        <v>1038</v>
      </c>
      <c r="E34" s="8" t="s">
        <v>845</v>
      </c>
      <c r="F34" s="8" t="s">
        <v>119</v>
      </c>
      <c r="G34" s="8" t="s">
        <v>996</v>
      </c>
      <c r="H34" s="8" t="s">
        <v>998</v>
      </c>
      <c r="I34" s="9">
        <v>135</v>
      </c>
      <c r="J34" s="9">
        <v>12</v>
      </c>
      <c r="K34" s="8" t="s">
        <v>1041</v>
      </c>
    </row>
    <row r="35" spans="1:11" ht="15.75" customHeight="1" x14ac:dyDescent="0.25">
      <c r="A35" s="10" t="s">
        <v>940</v>
      </c>
      <c r="B35" s="10" t="s">
        <v>1053</v>
      </c>
      <c r="C35" s="11">
        <v>550</v>
      </c>
      <c r="D35" s="10" t="s">
        <v>790</v>
      </c>
      <c r="E35" s="10" t="s">
        <v>792</v>
      </c>
      <c r="F35" s="10" t="s">
        <v>119</v>
      </c>
      <c r="G35" s="10" t="s">
        <v>996</v>
      </c>
      <c r="H35" s="10" t="s">
        <v>203</v>
      </c>
      <c r="I35" s="11">
        <v>120</v>
      </c>
      <c r="J35" s="11">
        <v>5</v>
      </c>
      <c r="K35" s="10" t="s">
        <v>1060</v>
      </c>
    </row>
    <row r="36" spans="1:11" ht="15.75" customHeight="1" x14ac:dyDescent="0.25">
      <c r="A36" s="8" t="s">
        <v>940</v>
      </c>
      <c r="B36" s="8" t="s">
        <v>1062</v>
      </c>
      <c r="C36" s="9">
        <v>650</v>
      </c>
      <c r="D36" s="8" t="s">
        <v>790</v>
      </c>
      <c r="E36" s="8" t="s">
        <v>792</v>
      </c>
      <c r="F36" s="8" t="s">
        <v>119</v>
      </c>
      <c r="G36" s="8" t="s">
        <v>996</v>
      </c>
      <c r="H36" s="8" t="s">
        <v>203</v>
      </c>
      <c r="I36" s="9">
        <v>120</v>
      </c>
      <c r="J36" s="9">
        <v>5</v>
      </c>
      <c r="K36" s="8" t="s">
        <v>1060</v>
      </c>
    </row>
    <row r="37" spans="1:11" ht="15.75" customHeight="1" x14ac:dyDescent="0.25">
      <c r="A37" s="10" t="s">
        <v>940</v>
      </c>
      <c r="B37" s="10" t="s">
        <v>1069</v>
      </c>
      <c r="C37" s="11">
        <v>750</v>
      </c>
      <c r="D37" s="10" t="s">
        <v>790</v>
      </c>
      <c r="E37" s="10" t="s">
        <v>792</v>
      </c>
      <c r="F37" s="10" t="s">
        <v>119</v>
      </c>
      <c r="G37" s="10" t="s">
        <v>996</v>
      </c>
      <c r="H37" s="10" t="s">
        <v>203</v>
      </c>
      <c r="I37" s="11">
        <v>120</v>
      </c>
      <c r="J37" s="11">
        <v>5</v>
      </c>
      <c r="K37" s="10" t="s">
        <v>1060</v>
      </c>
    </row>
    <row r="38" spans="1:11" ht="15.75" customHeight="1" x14ac:dyDescent="0.25">
      <c r="A38" s="8" t="s">
        <v>940</v>
      </c>
      <c r="B38" s="8" t="s">
        <v>1074</v>
      </c>
      <c r="C38" s="9">
        <v>550</v>
      </c>
      <c r="D38" s="8" t="s">
        <v>843</v>
      </c>
      <c r="E38" s="8" t="s">
        <v>845</v>
      </c>
      <c r="F38" s="8" t="s">
        <v>119</v>
      </c>
      <c r="G38" s="8" t="s">
        <v>996</v>
      </c>
      <c r="H38" s="8" t="s">
        <v>998</v>
      </c>
      <c r="I38" s="9">
        <v>120</v>
      </c>
      <c r="J38" s="9">
        <v>10</v>
      </c>
      <c r="K38" s="8" t="s">
        <v>1080</v>
      </c>
    </row>
    <row r="39" spans="1:11" ht="15.75" customHeight="1" x14ac:dyDescent="0.25">
      <c r="A39" s="10" t="s">
        <v>940</v>
      </c>
      <c r="B39" s="10" t="s">
        <v>1083</v>
      </c>
      <c r="C39" s="11">
        <v>650</v>
      </c>
      <c r="D39" s="10" t="s">
        <v>843</v>
      </c>
      <c r="E39" s="10" t="s">
        <v>845</v>
      </c>
      <c r="F39" s="10" t="s">
        <v>119</v>
      </c>
      <c r="G39" s="10" t="s">
        <v>996</v>
      </c>
      <c r="H39" s="10" t="s">
        <v>998</v>
      </c>
      <c r="I39" s="11">
        <v>120</v>
      </c>
      <c r="J39" s="11">
        <v>10</v>
      </c>
      <c r="K39" s="10" t="s">
        <v>1080</v>
      </c>
    </row>
    <row r="40" spans="1:11" ht="15.75" customHeight="1" x14ac:dyDescent="0.25">
      <c r="A40" s="8" t="s">
        <v>940</v>
      </c>
      <c r="B40" s="8" t="s">
        <v>1090</v>
      </c>
      <c r="C40" s="9">
        <v>750</v>
      </c>
      <c r="D40" s="8" t="s">
        <v>843</v>
      </c>
      <c r="E40" s="8" t="s">
        <v>845</v>
      </c>
      <c r="F40" s="8" t="s">
        <v>119</v>
      </c>
      <c r="G40" s="8" t="s">
        <v>996</v>
      </c>
      <c r="H40" s="8" t="s">
        <v>998</v>
      </c>
      <c r="I40" s="9">
        <v>120</v>
      </c>
      <c r="J40" s="9">
        <v>10</v>
      </c>
      <c r="K40" s="8" t="s">
        <v>1080</v>
      </c>
    </row>
    <row r="41" spans="1:11" ht="15.75" customHeight="1" x14ac:dyDescent="0.25">
      <c r="A41" s="10" t="s">
        <v>940</v>
      </c>
      <c r="B41" s="10" t="s">
        <v>1100</v>
      </c>
      <c r="C41" s="11">
        <v>850</v>
      </c>
      <c r="D41" s="10" t="s">
        <v>843</v>
      </c>
      <c r="E41" s="10" t="s">
        <v>845</v>
      </c>
      <c r="F41" s="10" t="s">
        <v>119</v>
      </c>
      <c r="G41" s="10" t="s">
        <v>996</v>
      </c>
      <c r="H41" s="10" t="s">
        <v>998</v>
      </c>
      <c r="I41" s="11">
        <v>120</v>
      </c>
      <c r="J41" s="11">
        <v>10</v>
      </c>
      <c r="K41" s="10" t="s">
        <v>1080</v>
      </c>
    </row>
    <row r="42" spans="1:11" ht="15.75" customHeight="1" x14ac:dyDescent="0.25">
      <c r="A42" s="8" t="s">
        <v>940</v>
      </c>
      <c r="B42" s="8" t="s">
        <v>1109</v>
      </c>
      <c r="C42" s="9">
        <v>1000</v>
      </c>
      <c r="D42" s="8" t="s">
        <v>843</v>
      </c>
      <c r="E42" s="8" t="s">
        <v>845</v>
      </c>
      <c r="F42" s="8" t="s">
        <v>119</v>
      </c>
      <c r="G42" s="8" t="s">
        <v>996</v>
      </c>
      <c r="H42" s="8" t="s">
        <v>998</v>
      </c>
      <c r="I42" s="9">
        <v>120</v>
      </c>
      <c r="J42" s="9">
        <v>10</v>
      </c>
      <c r="K42" s="8" t="s">
        <v>1080</v>
      </c>
    </row>
    <row r="43" spans="1:11" ht="15.75" customHeight="1" x14ac:dyDescent="0.25">
      <c r="A43" s="10" t="s">
        <v>940</v>
      </c>
      <c r="B43" s="10" t="s">
        <v>1119</v>
      </c>
      <c r="C43" s="11">
        <v>750</v>
      </c>
      <c r="D43" s="10" t="s">
        <v>897</v>
      </c>
      <c r="E43" s="10" t="s">
        <v>845</v>
      </c>
      <c r="F43" s="10" t="s">
        <v>119</v>
      </c>
      <c r="G43" s="10" t="s">
        <v>996</v>
      </c>
      <c r="H43" s="10" t="s">
        <v>998</v>
      </c>
      <c r="I43" s="11">
        <v>135</v>
      </c>
      <c r="J43" s="11">
        <v>10</v>
      </c>
      <c r="K43" s="10" t="s">
        <v>1130</v>
      </c>
    </row>
    <row r="44" spans="1:11" ht="15.75" customHeight="1" x14ac:dyDescent="0.25">
      <c r="A44" s="8" t="s">
        <v>940</v>
      </c>
      <c r="B44" s="8" t="s">
        <v>1131</v>
      </c>
      <c r="C44" s="9">
        <v>850</v>
      </c>
      <c r="D44" s="8" t="s">
        <v>897</v>
      </c>
      <c r="E44" s="8" t="s">
        <v>845</v>
      </c>
      <c r="F44" s="8" t="s">
        <v>119</v>
      </c>
      <c r="G44" s="8" t="s">
        <v>996</v>
      </c>
      <c r="H44" s="8" t="s">
        <v>998</v>
      </c>
      <c r="I44" s="9">
        <v>135</v>
      </c>
      <c r="J44" s="9">
        <v>10</v>
      </c>
      <c r="K44" s="8" t="s">
        <v>1130</v>
      </c>
    </row>
    <row r="45" spans="1:11" ht="15.75" customHeight="1" x14ac:dyDescent="0.25">
      <c r="A45" s="10" t="s">
        <v>940</v>
      </c>
      <c r="B45" s="10" t="s">
        <v>1139</v>
      </c>
      <c r="C45" s="11">
        <v>1000</v>
      </c>
      <c r="D45" s="10" t="s">
        <v>897</v>
      </c>
      <c r="E45" s="10" t="s">
        <v>845</v>
      </c>
      <c r="F45" s="10" t="s">
        <v>119</v>
      </c>
      <c r="G45" s="10" t="s">
        <v>996</v>
      </c>
      <c r="H45" s="10" t="s">
        <v>998</v>
      </c>
      <c r="I45" s="11">
        <v>135</v>
      </c>
      <c r="J45" s="11">
        <v>10</v>
      </c>
      <c r="K45" s="10" t="s">
        <v>1130</v>
      </c>
    </row>
    <row r="46" spans="1:11" ht="15.75" customHeight="1" x14ac:dyDescent="0.25">
      <c r="A46" s="8" t="s">
        <v>940</v>
      </c>
      <c r="B46" s="8" t="s">
        <v>1148</v>
      </c>
      <c r="C46" s="9">
        <v>850</v>
      </c>
      <c r="D46" s="8" t="s">
        <v>1038</v>
      </c>
      <c r="E46" s="8" t="s">
        <v>845</v>
      </c>
      <c r="F46" s="8" t="s">
        <v>119</v>
      </c>
      <c r="G46" s="8" t="s">
        <v>996</v>
      </c>
      <c r="H46" s="8" t="s">
        <v>998</v>
      </c>
      <c r="I46" s="9">
        <v>135</v>
      </c>
      <c r="J46" s="9">
        <v>10</v>
      </c>
      <c r="K46" s="8" t="s">
        <v>1151</v>
      </c>
    </row>
    <row r="47" spans="1:11" ht="15.75" customHeight="1" x14ac:dyDescent="0.25">
      <c r="A47" s="10" t="s">
        <v>940</v>
      </c>
      <c r="B47" s="10" t="s">
        <v>1155</v>
      </c>
      <c r="C47" s="11">
        <v>1000</v>
      </c>
      <c r="D47" s="10" t="s">
        <v>1038</v>
      </c>
      <c r="E47" s="10" t="s">
        <v>845</v>
      </c>
      <c r="F47" s="10" t="s">
        <v>119</v>
      </c>
      <c r="G47" s="10" t="s">
        <v>996</v>
      </c>
      <c r="H47" s="10" t="s">
        <v>998</v>
      </c>
      <c r="I47" s="11">
        <v>135</v>
      </c>
      <c r="J47" s="11">
        <v>10</v>
      </c>
      <c r="K47" s="10" t="s">
        <v>1151</v>
      </c>
    </row>
    <row r="48" spans="1:11" ht="15.75" customHeight="1" x14ac:dyDescent="0.25">
      <c r="A48" s="8" t="s">
        <v>123</v>
      </c>
      <c r="B48" s="8" t="s">
        <v>1166</v>
      </c>
      <c r="C48" s="9">
        <v>550</v>
      </c>
      <c r="D48" s="8" t="s">
        <v>790</v>
      </c>
      <c r="E48" s="8" t="s">
        <v>792</v>
      </c>
      <c r="F48" s="8" t="s">
        <v>119</v>
      </c>
      <c r="G48" s="8" t="s">
        <v>795</v>
      </c>
      <c r="H48" s="8" t="s">
        <v>203</v>
      </c>
      <c r="I48" s="9">
        <v>120</v>
      </c>
      <c r="J48" s="9">
        <v>5</v>
      </c>
      <c r="K48" s="8" t="s">
        <v>1173</v>
      </c>
    </row>
    <row r="49" spans="1:11" ht="15.75" customHeight="1" x14ac:dyDescent="0.25">
      <c r="A49" s="10" t="s">
        <v>123</v>
      </c>
      <c r="B49" s="10" t="s">
        <v>1175</v>
      </c>
      <c r="C49" s="11">
        <v>650</v>
      </c>
      <c r="D49" s="10" t="s">
        <v>790</v>
      </c>
      <c r="E49" s="10" t="s">
        <v>792</v>
      </c>
      <c r="F49" s="10" t="s">
        <v>119</v>
      </c>
      <c r="G49" s="10" t="s">
        <v>795</v>
      </c>
      <c r="H49" s="10" t="s">
        <v>203</v>
      </c>
      <c r="I49" s="11">
        <v>120</v>
      </c>
      <c r="J49" s="11">
        <v>5</v>
      </c>
      <c r="K49" s="10" t="s">
        <v>1173</v>
      </c>
    </row>
    <row r="50" spans="1:11" ht="15.75" customHeight="1" x14ac:dyDescent="0.25">
      <c r="A50" s="8" t="s">
        <v>123</v>
      </c>
      <c r="B50" s="8" t="s">
        <v>1185</v>
      </c>
      <c r="C50" s="9">
        <v>750</v>
      </c>
      <c r="D50" s="8" t="s">
        <v>790</v>
      </c>
      <c r="E50" s="8" t="s">
        <v>792</v>
      </c>
      <c r="F50" s="8" t="s">
        <v>119</v>
      </c>
      <c r="G50" s="8" t="s">
        <v>795</v>
      </c>
      <c r="H50" s="8" t="s">
        <v>203</v>
      </c>
      <c r="I50" s="9">
        <v>120</v>
      </c>
      <c r="J50" s="9">
        <v>5</v>
      </c>
      <c r="K50" s="8" t="s">
        <v>1173</v>
      </c>
    </row>
    <row r="51" spans="1:11" ht="15.75" customHeight="1" x14ac:dyDescent="0.25">
      <c r="A51" s="10" t="s">
        <v>123</v>
      </c>
      <c r="B51" s="10" t="s">
        <v>1192</v>
      </c>
      <c r="C51" s="11">
        <v>650</v>
      </c>
      <c r="D51" s="10" t="s">
        <v>843</v>
      </c>
      <c r="E51" s="10" t="s">
        <v>845</v>
      </c>
      <c r="F51" s="10" t="s">
        <v>119</v>
      </c>
      <c r="G51" s="10" t="s">
        <v>996</v>
      </c>
      <c r="H51" s="10" t="s">
        <v>998</v>
      </c>
      <c r="I51" s="11">
        <v>120</v>
      </c>
      <c r="J51" s="11">
        <v>10</v>
      </c>
      <c r="K51" s="10" t="s">
        <v>1200</v>
      </c>
    </row>
    <row r="52" spans="1:11" ht="15.75" customHeight="1" x14ac:dyDescent="0.25">
      <c r="A52" s="8" t="s">
        <v>123</v>
      </c>
      <c r="B52" s="8" t="s">
        <v>1201</v>
      </c>
      <c r="C52" s="9">
        <v>750</v>
      </c>
      <c r="D52" s="8" t="s">
        <v>843</v>
      </c>
      <c r="E52" s="8" t="s">
        <v>845</v>
      </c>
      <c r="F52" s="8" t="s">
        <v>119</v>
      </c>
      <c r="G52" s="8" t="s">
        <v>996</v>
      </c>
      <c r="H52" s="8" t="s">
        <v>998</v>
      </c>
      <c r="I52" s="9">
        <v>120</v>
      </c>
      <c r="J52" s="9">
        <v>10</v>
      </c>
      <c r="K52" s="8" t="s">
        <v>1200</v>
      </c>
    </row>
    <row r="53" spans="1:11" ht="15.75" customHeight="1" x14ac:dyDescent="0.25">
      <c r="A53" s="10" t="s">
        <v>123</v>
      </c>
      <c r="B53" s="10" t="s">
        <v>1205</v>
      </c>
      <c r="C53" s="11">
        <v>850</v>
      </c>
      <c r="D53" s="10" t="s">
        <v>843</v>
      </c>
      <c r="E53" s="10" t="s">
        <v>845</v>
      </c>
      <c r="F53" s="10" t="s">
        <v>119</v>
      </c>
      <c r="G53" s="10" t="s">
        <v>996</v>
      </c>
      <c r="H53" s="10" t="s">
        <v>998</v>
      </c>
      <c r="I53" s="11">
        <v>135</v>
      </c>
      <c r="J53" s="11">
        <v>10</v>
      </c>
      <c r="K53" s="10" t="s">
        <v>1200</v>
      </c>
    </row>
    <row r="54" spans="1:11" ht="15.75" customHeight="1" x14ac:dyDescent="0.25">
      <c r="A54" s="8" t="s">
        <v>123</v>
      </c>
      <c r="B54" s="8" t="s">
        <v>1212</v>
      </c>
      <c r="C54" s="9">
        <v>1000</v>
      </c>
      <c r="D54" s="8" t="s">
        <v>843</v>
      </c>
      <c r="E54" s="8" t="s">
        <v>845</v>
      </c>
      <c r="F54" s="8" t="s">
        <v>119</v>
      </c>
      <c r="G54" s="8" t="s">
        <v>996</v>
      </c>
      <c r="H54" s="8" t="s">
        <v>998</v>
      </c>
      <c r="I54" s="9">
        <v>135</v>
      </c>
      <c r="J54" s="9">
        <v>10</v>
      </c>
      <c r="K54" s="8" t="s">
        <v>1200</v>
      </c>
    </row>
    <row r="55" spans="1:11" ht="15.75" customHeight="1" x14ac:dyDescent="0.25">
      <c r="A55" s="10" t="s">
        <v>123</v>
      </c>
      <c r="B55" s="10" t="s">
        <v>1217</v>
      </c>
      <c r="C55" s="11">
        <v>850</v>
      </c>
      <c r="D55" s="10" t="s">
        <v>843</v>
      </c>
      <c r="E55" s="10" t="s">
        <v>845</v>
      </c>
      <c r="F55" s="10" t="s">
        <v>119</v>
      </c>
      <c r="G55" s="10" t="s">
        <v>996</v>
      </c>
      <c r="H55" s="10" t="s">
        <v>998</v>
      </c>
      <c r="I55" s="11">
        <v>135</v>
      </c>
      <c r="J55" s="11">
        <v>10</v>
      </c>
      <c r="K55" s="10" t="s">
        <v>1221</v>
      </c>
    </row>
    <row r="56" spans="1:11" ht="15.75" customHeight="1" x14ac:dyDescent="0.25">
      <c r="A56" s="8" t="s">
        <v>123</v>
      </c>
      <c r="B56" s="8" t="s">
        <v>1224</v>
      </c>
      <c r="C56" s="9">
        <v>1000</v>
      </c>
      <c r="D56" s="8" t="s">
        <v>843</v>
      </c>
      <c r="E56" s="8" t="s">
        <v>845</v>
      </c>
      <c r="F56" s="8" t="s">
        <v>119</v>
      </c>
      <c r="G56" s="8" t="s">
        <v>996</v>
      </c>
      <c r="H56" s="8" t="s">
        <v>998</v>
      </c>
      <c r="I56" s="9">
        <v>135</v>
      </c>
      <c r="J56" s="9">
        <v>10</v>
      </c>
      <c r="K56" s="8" t="s">
        <v>1221</v>
      </c>
    </row>
    <row r="57" spans="1:11" ht="15.75" customHeight="1" x14ac:dyDescent="0.25">
      <c r="A57" s="10" t="s">
        <v>918</v>
      </c>
      <c r="B57" s="10" t="s">
        <v>1230</v>
      </c>
      <c r="C57" s="11">
        <v>550</v>
      </c>
      <c r="D57" s="10" t="s">
        <v>790</v>
      </c>
      <c r="E57" s="10" t="s">
        <v>792</v>
      </c>
      <c r="F57" s="10" t="s">
        <v>119</v>
      </c>
      <c r="G57" s="10" t="s">
        <v>795</v>
      </c>
      <c r="H57" s="10" t="s">
        <v>203</v>
      </c>
      <c r="I57" s="11">
        <v>120</v>
      </c>
      <c r="J57" s="11">
        <v>5</v>
      </c>
      <c r="K57" s="10" t="s">
        <v>1235</v>
      </c>
    </row>
    <row r="58" spans="1:11" ht="15.75" customHeight="1" x14ac:dyDescent="0.25">
      <c r="A58" s="8" t="s">
        <v>918</v>
      </c>
      <c r="B58" s="8" t="s">
        <v>1239</v>
      </c>
      <c r="C58" s="9">
        <v>650</v>
      </c>
      <c r="D58" s="8" t="s">
        <v>790</v>
      </c>
      <c r="E58" s="8" t="s">
        <v>792</v>
      </c>
      <c r="F58" s="8" t="s">
        <v>119</v>
      </c>
      <c r="G58" s="8" t="s">
        <v>795</v>
      </c>
      <c r="H58" s="8" t="s">
        <v>203</v>
      </c>
      <c r="I58" s="9">
        <v>120</v>
      </c>
      <c r="J58" s="9">
        <v>5</v>
      </c>
      <c r="K58" s="8" t="s">
        <v>1235</v>
      </c>
    </row>
    <row r="59" spans="1:11" ht="15.75" customHeight="1" x14ac:dyDescent="0.25">
      <c r="A59" s="10" t="s">
        <v>918</v>
      </c>
      <c r="B59" s="10" t="s">
        <v>1246</v>
      </c>
      <c r="C59" s="11">
        <v>750</v>
      </c>
      <c r="D59" s="10" t="s">
        <v>790</v>
      </c>
      <c r="E59" s="10" t="s">
        <v>822</v>
      </c>
      <c r="F59" s="10" t="s">
        <v>119</v>
      </c>
      <c r="G59" s="10" t="s">
        <v>795</v>
      </c>
      <c r="H59" s="10" t="s">
        <v>203</v>
      </c>
      <c r="I59" s="11">
        <v>120</v>
      </c>
      <c r="J59" s="11">
        <v>5</v>
      </c>
      <c r="K59" s="10" t="s">
        <v>1235</v>
      </c>
    </row>
    <row r="60" spans="1:11" ht="15.75" customHeight="1" x14ac:dyDescent="0.25">
      <c r="A60" s="8" t="s">
        <v>918</v>
      </c>
      <c r="B60" s="8" t="s">
        <v>1251</v>
      </c>
      <c r="C60" s="9">
        <v>550</v>
      </c>
      <c r="D60" s="8" t="s">
        <v>843</v>
      </c>
      <c r="E60" s="8" t="s">
        <v>845</v>
      </c>
      <c r="F60" s="8" t="s">
        <v>119</v>
      </c>
      <c r="G60" s="8" t="s">
        <v>795</v>
      </c>
      <c r="H60" s="8" t="s">
        <v>203</v>
      </c>
      <c r="I60" s="9">
        <v>120</v>
      </c>
      <c r="J60" s="9">
        <v>10</v>
      </c>
      <c r="K60" s="8" t="s">
        <v>1255</v>
      </c>
    </row>
    <row r="61" spans="1:11" ht="15.75" customHeight="1" x14ac:dyDescent="0.25">
      <c r="A61" s="10" t="s">
        <v>918</v>
      </c>
      <c r="B61" s="10" t="s">
        <v>1258</v>
      </c>
      <c r="C61" s="11">
        <v>650</v>
      </c>
      <c r="D61" s="10" t="s">
        <v>843</v>
      </c>
      <c r="E61" s="10" t="s">
        <v>845</v>
      </c>
      <c r="F61" s="10" t="s">
        <v>119</v>
      </c>
      <c r="G61" s="10" t="s">
        <v>795</v>
      </c>
      <c r="H61" s="10" t="s">
        <v>203</v>
      </c>
      <c r="I61" s="11">
        <v>120</v>
      </c>
      <c r="J61" s="11">
        <v>10</v>
      </c>
      <c r="K61" s="10" t="s">
        <v>1255</v>
      </c>
    </row>
    <row r="62" spans="1:11" ht="15.75" customHeight="1" x14ac:dyDescent="0.25">
      <c r="A62" s="8" t="s">
        <v>918</v>
      </c>
      <c r="B62" s="8" t="s">
        <v>1262</v>
      </c>
      <c r="C62" s="9">
        <v>750</v>
      </c>
      <c r="D62" s="8" t="s">
        <v>843</v>
      </c>
      <c r="E62" s="8" t="s">
        <v>845</v>
      </c>
      <c r="F62" s="8" t="s">
        <v>119</v>
      </c>
      <c r="G62" s="8" t="s">
        <v>795</v>
      </c>
      <c r="H62" s="8" t="s">
        <v>203</v>
      </c>
      <c r="I62" s="9">
        <v>120</v>
      </c>
      <c r="J62" s="9">
        <v>10</v>
      </c>
      <c r="K62" s="8" t="s">
        <v>1255</v>
      </c>
    </row>
    <row r="63" spans="1:11" ht="15.75" customHeight="1" x14ac:dyDescent="0.25">
      <c r="A63" s="10" t="s">
        <v>918</v>
      </c>
      <c r="B63" s="10" t="s">
        <v>1266</v>
      </c>
      <c r="C63" s="11">
        <v>850</v>
      </c>
      <c r="D63" s="10" t="s">
        <v>843</v>
      </c>
      <c r="E63" s="10" t="s">
        <v>845</v>
      </c>
      <c r="F63" s="10" t="s">
        <v>119</v>
      </c>
      <c r="G63" s="10" t="s">
        <v>795</v>
      </c>
      <c r="H63" s="10" t="s">
        <v>203</v>
      </c>
      <c r="I63" s="11">
        <v>120</v>
      </c>
      <c r="J63" s="11">
        <v>10</v>
      </c>
      <c r="K63" s="10" t="s">
        <v>1255</v>
      </c>
    </row>
    <row r="64" spans="1:11" ht="15.75" customHeight="1" x14ac:dyDescent="0.25">
      <c r="A64" s="8" t="s">
        <v>918</v>
      </c>
      <c r="B64" s="8" t="s">
        <v>1272</v>
      </c>
      <c r="C64" s="9">
        <v>650</v>
      </c>
      <c r="D64" s="8" t="s">
        <v>843</v>
      </c>
      <c r="E64" s="8" t="s">
        <v>845</v>
      </c>
      <c r="F64" s="8" t="s">
        <v>119</v>
      </c>
      <c r="G64" s="8" t="s">
        <v>996</v>
      </c>
      <c r="H64" s="8" t="s">
        <v>998</v>
      </c>
      <c r="I64" s="9">
        <v>120</v>
      </c>
      <c r="J64" s="9">
        <v>10</v>
      </c>
      <c r="K64" s="8" t="s">
        <v>1275</v>
      </c>
    </row>
    <row r="65" spans="1:11" ht="15.75" customHeight="1" x14ac:dyDescent="0.25">
      <c r="A65" s="10" t="s">
        <v>918</v>
      </c>
      <c r="B65" s="10" t="s">
        <v>1276</v>
      </c>
      <c r="C65" s="11">
        <v>750</v>
      </c>
      <c r="D65" s="10" t="s">
        <v>843</v>
      </c>
      <c r="E65" s="10" t="s">
        <v>845</v>
      </c>
      <c r="F65" s="10" t="s">
        <v>119</v>
      </c>
      <c r="G65" s="10" t="s">
        <v>996</v>
      </c>
      <c r="H65" s="10" t="s">
        <v>998</v>
      </c>
      <c r="I65" s="11">
        <v>120</v>
      </c>
      <c r="J65" s="11">
        <v>10</v>
      </c>
      <c r="K65" s="10" t="s">
        <v>1275</v>
      </c>
    </row>
    <row r="66" spans="1:11" ht="15.75" customHeight="1" x14ac:dyDescent="0.25">
      <c r="A66" s="8" t="s">
        <v>918</v>
      </c>
      <c r="B66" s="8" t="s">
        <v>1282</v>
      </c>
      <c r="C66" s="9">
        <v>850</v>
      </c>
      <c r="D66" s="8" t="s">
        <v>843</v>
      </c>
      <c r="E66" s="8" t="s">
        <v>845</v>
      </c>
      <c r="F66" s="8" t="s">
        <v>119</v>
      </c>
      <c r="G66" s="8" t="s">
        <v>996</v>
      </c>
      <c r="H66" s="8" t="s">
        <v>998</v>
      </c>
      <c r="I66" s="9">
        <v>135</v>
      </c>
      <c r="J66" s="9">
        <v>10</v>
      </c>
      <c r="K66" s="8" t="s">
        <v>1275</v>
      </c>
    </row>
    <row r="67" spans="1:11" ht="15.75" customHeight="1" x14ac:dyDescent="0.25">
      <c r="A67" s="10" t="s">
        <v>918</v>
      </c>
      <c r="B67" s="10" t="s">
        <v>1286</v>
      </c>
      <c r="C67" s="11">
        <v>850</v>
      </c>
      <c r="D67" s="10" t="s">
        <v>843</v>
      </c>
      <c r="E67" s="10" t="s">
        <v>845</v>
      </c>
      <c r="F67" s="10" t="s">
        <v>119</v>
      </c>
      <c r="G67" s="10" t="s">
        <v>795</v>
      </c>
      <c r="H67" s="10" t="s">
        <v>203</v>
      </c>
      <c r="I67" s="11">
        <v>135</v>
      </c>
      <c r="J67" s="11">
        <v>10</v>
      </c>
      <c r="K67" s="10" t="s">
        <v>1287</v>
      </c>
    </row>
    <row r="68" spans="1:11" ht="15.75" customHeight="1" x14ac:dyDescent="0.25">
      <c r="A68" s="8" t="s">
        <v>918</v>
      </c>
      <c r="B68" s="8" t="s">
        <v>1288</v>
      </c>
      <c r="C68" s="9">
        <v>1000</v>
      </c>
      <c r="D68" s="8" t="s">
        <v>897</v>
      </c>
      <c r="E68" s="8" t="s">
        <v>845</v>
      </c>
      <c r="F68" s="8" t="s">
        <v>119</v>
      </c>
      <c r="G68" s="8" t="s">
        <v>795</v>
      </c>
      <c r="H68" s="8" t="s">
        <v>203</v>
      </c>
      <c r="I68" s="9">
        <v>135</v>
      </c>
      <c r="J68" s="9">
        <v>10</v>
      </c>
      <c r="K68" s="8" t="s">
        <v>1290</v>
      </c>
    </row>
    <row r="69" spans="1:11" ht="15.75" customHeight="1" x14ac:dyDescent="0.25">
      <c r="A69" s="10" t="s">
        <v>1015</v>
      </c>
      <c r="B69" s="10" t="s">
        <v>1291</v>
      </c>
      <c r="C69" s="11">
        <v>550</v>
      </c>
      <c r="D69" s="10" t="s">
        <v>790</v>
      </c>
      <c r="E69" s="10" t="s">
        <v>792</v>
      </c>
      <c r="F69" s="10" t="s">
        <v>119</v>
      </c>
      <c r="G69" s="10" t="s">
        <v>795</v>
      </c>
      <c r="H69" s="10" t="s">
        <v>203</v>
      </c>
      <c r="I69" s="11">
        <v>120</v>
      </c>
      <c r="J69" s="11">
        <v>5</v>
      </c>
      <c r="K69" s="10" t="s">
        <v>1292</v>
      </c>
    </row>
    <row r="70" spans="1:11" ht="15.75" customHeight="1" x14ac:dyDescent="0.25">
      <c r="A70" s="8" t="s">
        <v>1015</v>
      </c>
      <c r="B70" s="8" t="s">
        <v>1294</v>
      </c>
      <c r="C70" s="9">
        <v>650</v>
      </c>
      <c r="D70" s="8" t="s">
        <v>790</v>
      </c>
      <c r="E70" s="8" t="s">
        <v>792</v>
      </c>
      <c r="F70" s="8" t="s">
        <v>119</v>
      </c>
      <c r="G70" s="8" t="s">
        <v>795</v>
      </c>
      <c r="H70" s="8" t="s">
        <v>203</v>
      </c>
      <c r="I70" s="9">
        <v>120</v>
      </c>
      <c r="J70" s="9">
        <v>5</v>
      </c>
      <c r="K70" s="8" t="s">
        <v>1292</v>
      </c>
    </row>
    <row r="71" spans="1:11" ht="15.75" customHeight="1" x14ac:dyDescent="0.25">
      <c r="A71" s="10" t="s">
        <v>1015</v>
      </c>
      <c r="B71" s="10" t="s">
        <v>1295</v>
      </c>
      <c r="C71" s="11">
        <v>750</v>
      </c>
      <c r="D71" s="10" t="s">
        <v>790</v>
      </c>
      <c r="E71" s="10" t="s">
        <v>792</v>
      </c>
      <c r="F71" s="10" t="s">
        <v>119</v>
      </c>
      <c r="G71" s="10" t="s">
        <v>795</v>
      </c>
      <c r="H71" s="10" t="s">
        <v>203</v>
      </c>
      <c r="I71" s="11">
        <v>120</v>
      </c>
      <c r="J71" s="11">
        <v>5</v>
      </c>
      <c r="K71" s="10" t="s">
        <v>1292</v>
      </c>
    </row>
    <row r="72" spans="1:11" ht="15.75" customHeight="1" x14ac:dyDescent="0.25">
      <c r="A72" s="8" t="s">
        <v>1015</v>
      </c>
      <c r="B72" s="8" t="s">
        <v>1297</v>
      </c>
      <c r="C72" s="9">
        <v>650</v>
      </c>
      <c r="D72" s="8" t="s">
        <v>843</v>
      </c>
      <c r="E72" s="8" t="s">
        <v>845</v>
      </c>
      <c r="F72" s="8" t="s">
        <v>119</v>
      </c>
      <c r="G72" s="8" t="s">
        <v>795</v>
      </c>
      <c r="H72" s="8" t="s">
        <v>203</v>
      </c>
      <c r="I72" s="9">
        <v>140</v>
      </c>
      <c r="J72" s="9">
        <v>10</v>
      </c>
      <c r="K72" s="8" t="s">
        <v>1298</v>
      </c>
    </row>
    <row r="73" spans="1:11" ht="15.75" customHeight="1" x14ac:dyDescent="0.25">
      <c r="A73" s="10" t="s">
        <v>1015</v>
      </c>
      <c r="B73" s="10" t="s">
        <v>1300</v>
      </c>
      <c r="C73" s="11">
        <v>750</v>
      </c>
      <c r="D73" s="10" t="s">
        <v>843</v>
      </c>
      <c r="E73" s="10" t="s">
        <v>845</v>
      </c>
      <c r="F73" s="10" t="s">
        <v>119</v>
      </c>
      <c r="G73" s="10" t="s">
        <v>795</v>
      </c>
      <c r="H73" s="10" t="s">
        <v>203</v>
      </c>
      <c r="I73" s="11">
        <v>140</v>
      </c>
      <c r="J73" s="11">
        <v>10</v>
      </c>
      <c r="K73" s="10" t="s">
        <v>1298</v>
      </c>
    </row>
    <row r="74" spans="1:11" ht="15.75" customHeight="1" x14ac:dyDescent="0.25">
      <c r="A74" s="8" t="s">
        <v>1015</v>
      </c>
      <c r="B74" s="8" t="s">
        <v>1301</v>
      </c>
      <c r="C74" s="9">
        <v>850</v>
      </c>
      <c r="D74" s="8" t="s">
        <v>843</v>
      </c>
      <c r="E74" s="8" t="s">
        <v>845</v>
      </c>
      <c r="F74" s="8" t="s">
        <v>119</v>
      </c>
      <c r="G74" s="8" t="s">
        <v>996</v>
      </c>
      <c r="H74" s="8" t="s">
        <v>998</v>
      </c>
      <c r="I74" s="9">
        <v>140</v>
      </c>
      <c r="J74" s="9">
        <v>10</v>
      </c>
      <c r="K74" s="8" t="s">
        <v>1305</v>
      </c>
    </row>
    <row r="75" spans="1:11" ht="15.75" customHeight="1" x14ac:dyDescent="0.25">
      <c r="A75" s="10" t="s">
        <v>1015</v>
      </c>
      <c r="B75" s="10" t="s">
        <v>1307</v>
      </c>
      <c r="C75" s="11">
        <v>1000</v>
      </c>
      <c r="D75" s="10" t="s">
        <v>843</v>
      </c>
      <c r="E75" s="10" t="s">
        <v>845</v>
      </c>
      <c r="F75" s="10" t="s">
        <v>119</v>
      </c>
      <c r="G75" s="10" t="s">
        <v>996</v>
      </c>
      <c r="H75" s="10" t="s">
        <v>998</v>
      </c>
      <c r="I75" s="11">
        <v>140</v>
      </c>
      <c r="J75" s="11">
        <v>10</v>
      </c>
      <c r="K75" s="10" t="s">
        <v>1305</v>
      </c>
    </row>
    <row r="76" spans="1:11" ht="15.75" customHeight="1" x14ac:dyDescent="0.25">
      <c r="A76" s="8" t="s">
        <v>1015</v>
      </c>
      <c r="B76" s="8" t="s">
        <v>1309</v>
      </c>
      <c r="C76" s="9">
        <v>1000</v>
      </c>
      <c r="D76" s="8" t="s">
        <v>897</v>
      </c>
      <c r="E76" s="8" t="s">
        <v>845</v>
      </c>
      <c r="F76" s="8" t="s">
        <v>119</v>
      </c>
      <c r="G76" s="8" t="s">
        <v>996</v>
      </c>
      <c r="H76" s="8" t="s">
        <v>998</v>
      </c>
      <c r="I76" s="9">
        <v>140</v>
      </c>
      <c r="J76" s="9">
        <v>10</v>
      </c>
      <c r="K76" s="8" t="s">
        <v>1312</v>
      </c>
    </row>
    <row r="77" spans="1:11" ht="15.75" customHeight="1" x14ac:dyDescent="0.25">
      <c r="A77" s="10" t="s">
        <v>72</v>
      </c>
      <c r="B77" s="10" t="s">
        <v>1313</v>
      </c>
      <c r="C77" s="11">
        <v>550</v>
      </c>
      <c r="D77" s="10" t="s">
        <v>790</v>
      </c>
      <c r="E77" s="10" t="s">
        <v>792</v>
      </c>
      <c r="F77" s="10" t="s">
        <v>119</v>
      </c>
      <c r="G77" s="10" t="s">
        <v>795</v>
      </c>
      <c r="H77" s="10" t="s">
        <v>203</v>
      </c>
      <c r="I77" s="11">
        <v>135</v>
      </c>
      <c r="J77" s="11">
        <v>6</v>
      </c>
      <c r="K77" s="10" t="s">
        <v>1314</v>
      </c>
    </row>
    <row r="78" spans="1:11" ht="15.75" customHeight="1" x14ac:dyDescent="0.25">
      <c r="A78" s="8" t="s">
        <v>72</v>
      </c>
      <c r="B78" s="8" t="s">
        <v>1315</v>
      </c>
      <c r="C78" s="9">
        <v>650</v>
      </c>
      <c r="D78" s="8" t="s">
        <v>790</v>
      </c>
      <c r="E78" s="8" t="s">
        <v>792</v>
      </c>
      <c r="F78" s="8" t="s">
        <v>119</v>
      </c>
      <c r="G78" s="8" t="s">
        <v>795</v>
      </c>
      <c r="H78" s="8" t="s">
        <v>203</v>
      </c>
      <c r="I78" s="9">
        <v>135</v>
      </c>
      <c r="J78" s="9">
        <v>6</v>
      </c>
      <c r="K78" s="8" t="s">
        <v>1314</v>
      </c>
    </row>
    <row r="79" spans="1:11" ht="15.75" customHeight="1" x14ac:dyDescent="0.25">
      <c r="A79" s="10" t="s">
        <v>72</v>
      </c>
      <c r="B79" s="10" t="s">
        <v>1317</v>
      </c>
      <c r="C79" s="11">
        <v>750</v>
      </c>
      <c r="D79" s="10" t="s">
        <v>790</v>
      </c>
      <c r="E79" s="10" t="s">
        <v>792</v>
      </c>
      <c r="F79" s="10" t="s">
        <v>119</v>
      </c>
      <c r="G79" s="10" t="s">
        <v>795</v>
      </c>
      <c r="H79" s="10" t="s">
        <v>203</v>
      </c>
      <c r="I79" s="11">
        <v>135</v>
      </c>
      <c r="J79" s="11">
        <v>6</v>
      </c>
      <c r="K79" s="10" t="s">
        <v>1314</v>
      </c>
    </row>
    <row r="80" spans="1:11" ht="15.75" customHeight="1" x14ac:dyDescent="0.25">
      <c r="A80" s="8" t="s">
        <v>72</v>
      </c>
      <c r="B80" s="8" t="s">
        <v>1319</v>
      </c>
      <c r="C80" s="9">
        <v>750</v>
      </c>
      <c r="D80" s="8" t="s">
        <v>843</v>
      </c>
      <c r="E80" s="8" t="s">
        <v>845</v>
      </c>
      <c r="F80" s="8" t="s">
        <v>119</v>
      </c>
      <c r="G80" s="8" t="s">
        <v>996</v>
      </c>
      <c r="H80" s="8" t="s">
        <v>998</v>
      </c>
      <c r="I80" s="9">
        <v>135</v>
      </c>
      <c r="J80" s="9">
        <v>10</v>
      </c>
      <c r="K80" s="8" t="s">
        <v>1320</v>
      </c>
    </row>
    <row r="81" spans="1:11" ht="15.75" customHeight="1" x14ac:dyDescent="0.25">
      <c r="A81" s="10" t="s">
        <v>72</v>
      </c>
      <c r="B81" s="10" t="s">
        <v>1321</v>
      </c>
      <c r="C81" s="11">
        <v>850</v>
      </c>
      <c r="D81" s="10" t="s">
        <v>843</v>
      </c>
      <c r="E81" s="10" t="s">
        <v>845</v>
      </c>
      <c r="F81" s="10" t="s">
        <v>119</v>
      </c>
      <c r="G81" s="10" t="s">
        <v>996</v>
      </c>
      <c r="H81" s="10" t="s">
        <v>998</v>
      </c>
      <c r="I81" s="11">
        <v>135</v>
      </c>
      <c r="J81" s="11">
        <v>10</v>
      </c>
      <c r="K81" s="10" t="s">
        <v>1320</v>
      </c>
    </row>
    <row r="82" spans="1:11" ht="15.75" customHeight="1" x14ac:dyDescent="0.25">
      <c r="A82" s="8" t="s">
        <v>72</v>
      </c>
      <c r="B82" s="8" t="s">
        <v>1322</v>
      </c>
      <c r="C82" s="9">
        <v>1000</v>
      </c>
      <c r="D82" s="8" t="s">
        <v>843</v>
      </c>
      <c r="E82" s="8" t="s">
        <v>845</v>
      </c>
      <c r="F82" s="8" t="s">
        <v>119</v>
      </c>
      <c r="G82" s="8" t="s">
        <v>996</v>
      </c>
      <c r="H82" s="8" t="s">
        <v>998</v>
      </c>
      <c r="I82" s="9">
        <v>135</v>
      </c>
      <c r="J82" s="9">
        <v>10</v>
      </c>
      <c r="K82" s="8" t="s">
        <v>1320</v>
      </c>
    </row>
    <row r="83" spans="1:11" ht="15.75" customHeight="1" x14ac:dyDescent="0.25">
      <c r="A83" s="10" t="s">
        <v>72</v>
      </c>
      <c r="B83" s="10" t="s">
        <v>1325</v>
      </c>
      <c r="C83" s="11">
        <v>750</v>
      </c>
      <c r="D83" s="10" t="s">
        <v>843</v>
      </c>
      <c r="E83" s="10" t="s">
        <v>845</v>
      </c>
      <c r="F83" s="10" t="s">
        <v>119</v>
      </c>
      <c r="G83" s="10" t="s">
        <v>996</v>
      </c>
      <c r="H83" s="10" t="s">
        <v>998</v>
      </c>
      <c r="I83" s="11">
        <v>135</v>
      </c>
      <c r="J83" s="11">
        <v>10</v>
      </c>
      <c r="K83" s="10" t="s">
        <v>1327</v>
      </c>
    </row>
    <row r="84" spans="1:11" ht="15.75" customHeight="1" x14ac:dyDescent="0.25">
      <c r="A84" s="8" t="s">
        <v>72</v>
      </c>
      <c r="B84" s="8" t="s">
        <v>1328</v>
      </c>
      <c r="C84" s="9">
        <v>850</v>
      </c>
      <c r="D84" s="8" t="s">
        <v>843</v>
      </c>
      <c r="E84" s="8" t="s">
        <v>845</v>
      </c>
      <c r="F84" s="8" t="s">
        <v>119</v>
      </c>
      <c r="G84" s="8" t="s">
        <v>996</v>
      </c>
      <c r="H84" s="8" t="s">
        <v>998</v>
      </c>
      <c r="I84" s="9">
        <v>135</v>
      </c>
      <c r="J84" s="9">
        <v>10</v>
      </c>
      <c r="K84" s="8" t="s">
        <v>1327</v>
      </c>
    </row>
    <row r="85" spans="1:11" ht="15.75" customHeight="1" x14ac:dyDescent="0.25">
      <c r="A85" s="10" t="s">
        <v>72</v>
      </c>
      <c r="B85" s="10" t="s">
        <v>1330</v>
      </c>
      <c r="C85" s="11">
        <v>1000</v>
      </c>
      <c r="D85" s="10" t="s">
        <v>843</v>
      </c>
      <c r="E85" s="10" t="s">
        <v>845</v>
      </c>
      <c r="F85" s="10" t="s">
        <v>119</v>
      </c>
      <c r="G85" s="10" t="s">
        <v>996</v>
      </c>
      <c r="H85" s="10" t="s">
        <v>998</v>
      </c>
      <c r="I85" s="11">
        <v>135</v>
      </c>
      <c r="J85" s="11">
        <v>10</v>
      </c>
      <c r="K85" s="10" t="s">
        <v>1327</v>
      </c>
    </row>
    <row r="86" spans="1:11" ht="15.75" customHeight="1" x14ac:dyDescent="0.25">
      <c r="A86" s="8" t="s">
        <v>72</v>
      </c>
      <c r="B86" s="8" t="s">
        <v>1332</v>
      </c>
      <c r="C86" s="9">
        <v>1000</v>
      </c>
      <c r="D86" s="8" t="s">
        <v>897</v>
      </c>
      <c r="E86" s="8" t="s">
        <v>845</v>
      </c>
      <c r="F86" s="8" t="s">
        <v>119</v>
      </c>
      <c r="G86" s="8" t="s">
        <v>996</v>
      </c>
      <c r="H86" s="8" t="s">
        <v>998</v>
      </c>
      <c r="I86" s="9">
        <v>135</v>
      </c>
      <c r="J86" s="9">
        <v>10</v>
      </c>
      <c r="K86" s="8" t="s">
        <v>1333</v>
      </c>
    </row>
    <row r="87" spans="1:11" ht="15.75" customHeight="1" x14ac:dyDescent="0.25">
      <c r="A87" s="10" t="s">
        <v>148</v>
      </c>
      <c r="B87" s="10" t="s">
        <v>1334</v>
      </c>
      <c r="C87" s="11">
        <v>550</v>
      </c>
      <c r="D87" s="10" t="s">
        <v>790</v>
      </c>
      <c r="E87" s="10" t="s">
        <v>792</v>
      </c>
      <c r="F87" s="10" t="s">
        <v>119</v>
      </c>
      <c r="G87" s="10" t="s">
        <v>795</v>
      </c>
      <c r="H87" s="10" t="s">
        <v>203</v>
      </c>
      <c r="I87" s="11">
        <v>120</v>
      </c>
      <c r="J87" s="11">
        <v>3</v>
      </c>
      <c r="K87" s="10" t="s">
        <v>1292</v>
      </c>
    </row>
    <row r="88" spans="1:11" ht="15.75" customHeight="1" x14ac:dyDescent="0.25">
      <c r="A88" s="8" t="s">
        <v>148</v>
      </c>
      <c r="B88" s="8" t="s">
        <v>1336</v>
      </c>
      <c r="C88" s="9">
        <v>650</v>
      </c>
      <c r="D88" s="8" t="s">
        <v>790</v>
      </c>
      <c r="E88" s="8" t="s">
        <v>792</v>
      </c>
      <c r="F88" s="8" t="s">
        <v>119</v>
      </c>
      <c r="G88" s="8" t="s">
        <v>795</v>
      </c>
      <c r="H88" s="8" t="s">
        <v>203</v>
      </c>
      <c r="I88" s="9">
        <v>120</v>
      </c>
      <c r="J88" s="9">
        <v>3</v>
      </c>
      <c r="K88" s="8" t="s">
        <v>1292</v>
      </c>
    </row>
    <row r="89" spans="1:11" ht="15.75" customHeight="1" x14ac:dyDescent="0.25">
      <c r="A89" s="10" t="s">
        <v>148</v>
      </c>
      <c r="B89" s="10" t="s">
        <v>1338</v>
      </c>
      <c r="C89" s="11">
        <v>750</v>
      </c>
      <c r="D89" s="10" t="s">
        <v>790</v>
      </c>
      <c r="E89" s="10" t="s">
        <v>792</v>
      </c>
      <c r="F89" s="10" t="s">
        <v>119</v>
      </c>
      <c r="G89" s="10" t="s">
        <v>795</v>
      </c>
      <c r="H89" s="10" t="s">
        <v>203</v>
      </c>
      <c r="I89" s="11">
        <v>120</v>
      </c>
      <c r="J89" s="11">
        <v>3</v>
      </c>
      <c r="K89" s="10" t="s">
        <v>1292</v>
      </c>
    </row>
    <row r="90" spans="1:11" ht="15.75" customHeight="1" x14ac:dyDescent="0.25">
      <c r="A90" s="8" t="s">
        <v>148</v>
      </c>
      <c r="B90" s="8" t="s">
        <v>1342</v>
      </c>
      <c r="C90" s="9">
        <v>750</v>
      </c>
      <c r="D90" s="8" t="s">
        <v>843</v>
      </c>
      <c r="E90" s="8" t="s">
        <v>845</v>
      </c>
      <c r="F90" s="8" t="s">
        <v>119</v>
      </c>
      <c r="G90" s="8" t="s">
        <v>795</v>
      </c>
      <c r="H90" s="8" t="s">
        <v>203</v>
      </c>
      <c r="I90" s="9">
        <v>120</v>
      </c>
      <c r="J90" s="9">
        <v>5</v>
      </c>
      <c r="K90" s="8" t="s">
        <v>1255</v>
      </c>
    </row>
    <row r="91" spans="1:11" ht="15.75" customHeight="1" x14ac:dyDescent="0.25">
      <c r="A91" s="10" t="s">
        <v>148</v>
      </c>
      <c r="B91" s="10" t="s">
        <v>1345</v>
      </c>
      <c r="C91" s="11">
        <v>850</v>
      </c>
      <c r="D91" s="10" t="s">
        <v>843</v>
      </c>
      <c r="E91" s="10" t="s">
        <v>845</v>
      </c>
      <c r="F91" s="10" t="s">
        <v>119</v>
      </c>
      <c r="G91" s="10" t="s">
        <v>795</v>
      </c>
      <c r="H91" s="10" t="s">
        <v>203</v>
      </c>
      <c r="I91" s="11">
        <v>120</v>
      </c>
      <c r="J91" s="11">
        <v>5</v>
      </c>
      <c r="K91" s="10" t="s">
        <v>1255</v>
      </c>
    </row>
    <row r="92" spans="1:11" ht="15.75" customHeight="1" x14ac:dyDescent="0.25">
      <c r="A92" s="8" t="s">
        <v>148</v>
      </c>
      <c r="B92" s="8" t="s">
        <v>1348</v>
      </c>
      <c r="C92" s="9">
        <v>1000</v>
      </c>
      <c r="D92" s="8" t="s">
        <v>843</v>
      </c>
      <c r="E92" s="8" t="s">
        <v>845</v>
      </c>
      <c r="F92" s="8" t="s">
        <v>119</v>
      </c>
      <c r="G92" s="8" t="s">
        <v>996</v>
      </c>
      <c r="H92" s="8" t="s">
        <v>998</v>
      </c>
      <c r="I92" s="9">
        <v>120</v>
      </c>
      <c r="J92" s="9">
        <v>10</v>
      </c>
      <c r="K92" s="8" t="s">
        <v>996</v>
      </c>
    </row>
    <row r="93" spans="1:11" ht="15.75" customHeight="1" x14ac:dyDescent="0.25">
      <c r="A93" s="10" t="s">
        <v>148</v>
      </c>
      <c r="B93" s="10" t="s">
        <v>1350</v>
      </c>
      <c r="C93" s="11">
        <v>850</v>
      </c>
      <c r="D93" s="10" t="s">
        <v>843</v>
      </c>
      <c r="E93" s="10" t="s">
        <v>845</v>
      </c>
      <c r="F93" s="10" t="s">
        <v>119</v>
      </c>
      <c r="G93" s="10" t="s">
        <v>795</v>
      </c>
      <c r="H93" s="10" t="s">
        <v>203</v>
      </c>
      <c r="I93" s="11">
        <v>120</v>
      </c>
      <c r="J93" s="11">
        <v>10</v>
      </c>
      <c r="K93" s="10" t="s">
        <v>1221</v>
      </c>
    </row>
    <row r="94" spans="1:11" ht="15.75" customHeight="1" x14ac:dyDescent="0.25">
      <c r="A94" s="8" t="s">
        <v>820</v>
      </c>
      <c r="B94" s="8" t="s">
        <v>1352</v>
      </c>
      <c r="C94" s="9">
        <v>550</v>
      </c>
      <c r="D94" s="8" t="s">
        <v>843</v>
      </c>
      <c r="E94" s="8" t="s">
        <v>845</v>
      </c>
      <c r="F94" s="8" t="s">
        <v>119</v>
      </c>
      <c r="G94" s="8" t="s">
        <v>795</v>
      </c>
      <c r="H94" s="8" t="s">
        <v>203</v>
      </c>
      <c r="I94" s="9">
        <v>120</v>
      </c>
      <c r="J94" s="9">
        <v>10</v>
      </c>
      <c r="K94" s="8" t="s">
        <v>1354</v>
      </c>
    </row>
    <row r="95" spans="1:11" ht="15.75" customHeight="1" x14ac:dyDescent="0.25">
      <c r="A95" s="10" t="s">
        <v>820</v>
      </c>
      <c r="B95" s="10" t="s">
        <v>1356</v>
      </c>
      <c r="C95" s="11">
        <v>650</v>
      </c>
      <c r="D95" s="10" t="s">
        <v>843</v>
      </c>
      <c r="E95" s="10" t="s">
        <v>845</v>
      </c>
      <c r="F95" s="10" t="s">
        <v>119</v>
      </c>
      <c r="G95" s="10" t="s">
        <v>795</v>
      </c>
      <c r="H95" s="10" t="s">
        <v>203</v>
      </c>
      <c r="I95" s="11">
        <v>120</v>
      </c>
      <c r="J95" s="11">
        <v>10</v>
      </c>
      <c r="K95" s="10" t="s">
        <v>1354</v>
      </c>
    </row>
    <row r="96" spans="1:11" ht="15.75" customHeight="1" x14ac:dyDescent="0.25">
      <c r="A96" s="8" t="s">
        <v>820</v>
      </c>
      <c r="B96" s="8" t="s">
        <v>1358</v>
      </c>
      <c r="C96" s="9">
        <v>750</v>
      </c>
      <c r="D96" s="8" t="s">
        <v>843</v>
      </c>
      <c r="E96" s="8" t="s">
        <v>845</v>
      </c>
      <c r="F96" s="8" t="s">
        <v>119</v>
      </c>
      <c r="G96" s="8" t="s">
        <v>795</v>
      </c>
      <c r="H96" s="8" t="s">
        <v>203</v>
      </c>
      <c r="I96" s="9">
        <v>135</v>
      </c>
      <c r="J96" s="9">
        <v>10</v>
      </c>
      <c r="K96" s="8" t="s">
        <v>1354</v>
      </c>
    </row>
    <row r="97" spans="1:11" ht="15.75" customHeight="1" x14ac:dyDescent="0.25">
      <c r="A97" s="10" t="s">
        <v>820</v>
      </c>
      <c r="B97" s="10" t="s">
        <v>1362</v>
      </c>
      <c r="C97" s="11">
        <v>850</v>
      </c>
      <c r="D97" s="10" t="s">
        <v>843</v>
      </c>
      <c r="E97" s="10" t="s">
        <v>845</v>
      </c>
      <c r="F97" s="10" t="s">
        <v>119</v>
      </c>
      <c r="G97" s="10" t="s">
        <v>795</v>
      </c>
      <c r="H97" s="10" t="s">
        <v>203</v>
      </c>
      <c r="I97" s="11">
        <v>135</v>
      </c>
      <c r="J97" s="11">
        <v>10</v>
      </c>
      <c r="K97" s="10" t="s">
        <v>1366</v>
      </c>
    </row>
    <row r="98" spans="1:11" ht="15.75" customHeight="1" x14ac:dyDescent="0.25">
      <c r="A98" s="8" t="s">
        <v>820</v>
      </c>
      <c r="B98" s="8" t="s">
        <v>1368</v>
      </c>
      <c r="C98" s="9">
        <v>1000</v>
      </c>
      <c r="D98" s="8" t="s">
        <v>843</v>
      </c>
      <c r="E98" s="8" t="s">
        <v>845</v>
      </c>
      <c r="F98" s="8" t="s">
        <v>119</v>
      </c>
      <c r="G98" s="8" t="s">
        <v>868</v>
      </c>
      <c r="H98" s="8" t="s">
        <v>871</v>
      </c>
      <c r="I98" s="9">
        <v>135</v>
      </c>
      <c r="J98" s="9">
        <v>10</v>
      </c>
      <c r="K98" s="8" t="s">
        <v>1370</v>
      </c>
    </row>
    <row r="99" spans="1:11" ht="15.75" customHeight="1" x14ac:dyDescent="0.25">
      <c r="A99" s="10" t="s">
        <v>1372</v>
      </c>
      <c r="B99" s="10" t="s">
        <v>1373</v>
      </c>
      <c r="C99" s="11">
        <v>500</v>
      </c>
      <c r="D99" s="10" t="s">
        <v>790</v>
      </c>
      <c r="E99" s="10" t="s">
        <v>792</v>
      </c>
      <c r="F99" s="10" t="s">
        <v>119</v>
      </c>
      <c r="G99" s="10" t="s">
        <v>795</v>
      </c>
      <c r="H99" s="10" t="s">
        <v>203</v>
      </c>
      <c r="I99" s="11">
        <v>120</v>
      </c>
      <c r="J99" s="11">
        <v>3</v>
      </c>
      <c r="K99" s="10" t="s">
        <v>1292</v>
      </c>
    </row>
    <row r="100" spans="1:11" ht="15.75" customHeight="1" x14ac:dyDescent="0.25">
      <c r="A100" s="8" t="s">
        <v>1372</v>
      </c>
      <c r="B100" s="8" t="s">
        <v>1380</v>
      </c>
      <c r="C100" s="9">
        <v>600</v>
      </c>
      <c r="D100" s="8" t="s">
        <v>790</v>
      </c>
      <c r="E100" s="8" t="s">
        <v>792</v>
      </c>
      <c r="F100" s="8" t="s">
        <v>119</v>
      </c>
      <c r="G100" s="8" t="s">
        <v>795</v>
      </c>
      <c r="H100" s="8" t="s">
        <v>203</v>
      </c>
      <c r="I100" s="9">
        <v>120</v>
      </c>
      <c r="J100" s="9">
        <v>3</v>
      </c>
      <c r="K100" s="8" t="s">
        <v>1292</v>
      </c>
    </row>
    <row r="101" spans="1:11" ht="15.75" customHeight="1" x14ac:dyDescent="0.25">
      <c r="A101" s="10" t="s">
        <v>1372</v>
      </c>
      <c r="B101" s="10" t="s">
        <v>1383</v>
      </c>
      <c r="C101" s="11">
        <v>650</v>
      </c>
      <c r="D101" s="10" t="s">
        <v>843</v>
      </c>
      <c r="E101" s="10" t="s">
        <v>845</v>
      </c>
      <c r="F101" s="10" t="s">
        <v>119</v>
      </c>
      <c r="G101" s="10" t="s">
        <v>795</v>
      </c>
      <c r="H101" s="10" t="s">
        <v>203</v>
      </c>
      <c r="I101" s="11">
        <v>135</v>
      </c>
      <c r="J101" s="11">
        <v>7</v>
      </c>
      <c r="K101" s="10" t="s">
        <v>1384</v>
      </c>
    </row>
    <row r="102" spans="1:11" ht="15.75" customHeight="1" x14ac:dyDescent="0.25">
      <c r="A102" s="8" t="s">
        <v>1372</v>
      </c>
      <c r="B102" s="8" t="s">
        <v>1386</v>
      </c>
      <c r="C102" s="9">
        <v>750</v>
      </c>
      <c r="D102" s="8" t="s">
        <v>843</v>
      </c>
      <c r="E102" s="8" t="s">
        <v>845</v>
      </c>
      <c r="F102" s="8" t="s">
        <v>119</v>
      </c>
      <c r="G102" s="8" t="s">
        <v>795</v>
      </c>
      <c r="H102" s="8" t="s">
        <v>203</v>
      </c>
      <c r="I102" s="9">
        <v>135</v>
      </c>
      <c r="J102" s="9">
        <v>7</v>
      </c>
      <c r="K102" s="8" t="s">
        <v>1384</v>
      </c>
    </row>
    <row r="103" spans="1:11" ht="15.75" customHeight="1" x14ac:dyDescent="0.25">
      <c r="A103" s="10" t="s">
        <v>1372</v>
      </c>
      <c r="B103" s="10" t="s">
        <v>1387</v>
      </c>
      <c r="C103" s="11">
        <v>850</v>
      </c>
      <c r="D103" s="10" t="s">
        <v>843</v>
      </c>
      <c r="E103" s="10" t="s">
        <v>845</v>
      </c>
      <c r="F103" s="10" t="s">
        <v>119</v>
      </c>
      <c r="G103" s="10" t="s">
        <v>795</v>
      </c>
      <c r="H103" s="10" t="s">
        <v>203</v>
      </c>
      <c r="I103" s="11">
        <v>135</v>
      </c>
      <c r="J103" s="11">
        <v>10</v>
      </c>
      <c r="K103" s="10" t="s">
        <v>1042</v>
      </c>
    </row>
    <row r="104" spans="1:11" ht="15.75" customHeight="1" x14ac:dyDescent="0.25">
      <c r="A104" s="8" t="s">
        <v>1372</v>
      </c>
      <c r="B104" s="8" t="s">
        <v>1389</v>
      </c>
      <c r="C104" s="9">
        <v>1000</v>
      </c>
      <c r="D104" s="8" t="s">
        <v>843</v>
      </c>
      <c r="E104" s="8" t="s">
        <v>845</v>
      </c>
      <c r="F104" s="8" t="s">
        <v>119</v>
      </c>
      <c r="G104" s="8" t="s">
        <v>795</v>
      </c>
      <c r="H104" s="8" t="s">
        <v>203</v>
      </c>
      <c r="I104" s="9">
        <v>135</v>
      </c>
      <c r="J104" s="9">
        <v>10</v>
      </c>
      <c r="K104" s="8" t="s">
        <v>1042</v>
      </c>
    </row>
    <row r="105" spans="1:11" ht="15.75" customHeight="1" x14ac:dyDescent="0.25">
      <c r="A105" s="10" t="s">
        <v>1372</v>
      </c>
      <c r="B105" s="10" t="s">
        <v>1391</v>
      </c>
      <c r="C105" s="11">
        <v>1000</v>
      </c>
      <c r="D105" s="10" t="s">
        <v>897</v>
      </c>
      <c r="E105" s="10" t="s">
        <v>845</v>
      </c>
      <c r="F105" s="10" t="s">
        <v>119</v>
      </c>
      <c r="G105" s="10" t="s">
        <v>795</v>
      </c>
      <c r="H105" s="10" t="s">
        <v>203</v>
      </c>
      <c r="I105" s="11">
        <v>135</v>
      </c>
      <c r="J105" s="11">
        <v>10</v>
      </c>
      <c r="K105" s="10" t="s">
        <v>1312</v>
      </c>
    </row>
    <row r="106" spans="1:11" ht="15.75" customHeight="1" x14ac:dyDescent="0.25">
      <c r="A106" s="8" t="s">
        <v>1392</v>
      </c>
      <c r="B106" s="8" t="s">
        <v>1393</v>
      </c>
      <c r="C106" s="9">
        <v>550</v>
      </c>
      <c r="D106" s="8" t="s">
        <v>790</v>
      </c>
      <c r="E106" s="8" t="s">
        <v>792</v>
      </c>
      <c r="F106" s="8" t="s">
        <v>119</v>
      </c>
      <c r="G106" s="8" t="s">
        <v>795</v>
      </c>
      <c r="H106" s="8" t="s">
        <v>203</v>
      </c>
      <c r="I106" s="9">
        <v>120</v>
      </c>
      <c r="J106" s="9">
        <v>5</v>
      </c>
      <c r="K106" s="8" t="s">
        <v>1394</v>
      </c>
    </row>
    <row r="107" spans="1:11" ht="15.75" customHeight="1" x14ac:dyDescent="0.25">
      <c r="A107" s="10" t="s">
        <v>1392</v>
      </c>
      <c r="B107" s="10" t="s">
        <v>1395</v>
      </c>
      <c r="C107" s="11">
        <v>650</v>
      </c>
      <c r="D107" s="10" t="s">
        <v>790</v>
      </c>
      <c r="E107" s="10" t="s">
        <v>792</v>
      </c>
      <c r="F107" s="10" t="s">
        <v>119</v>
      </c>
      <c r="G107" s="10" t="s">
        <v>795</v>
      </c>
      <c r="H107" s="10" t="s">
        <v>203</v>
      </c>
      <c r="I107" s="11">
        <v>120</v>
      </c>
      <c r="J107" s="11">
        <v>5</v>
      </c>
      <c r="K107" s="10" t="s">
        <v>1394</v>
      </c>
    </row>
    <row r="108" spans="1:11" ht="15.75" customHeight="1" x14ac:dyDescent="0.25">
      <c r="A108" s="8" t="s">
        <v>1392</v>
      </c>
      <c r="B108" s="8" t="s">
        <v>1396</v>
      </c>
      <c r="C108" s="9">
        <v>750</v>
      </c>
      <c r="D108" s="8" t="s">
        <v>843</v>
      </c>
      <c r="E108" s="8" t="s">
        <v>845</v>
      </c>
      <c r="F108" s="8" t="s">
        <v>119</v>
      </c>
      <c r="G108" s="8" t="s">
        <v>795</v>
      </c>
      <c r="H108" s="8" t="s">
        <v>203</v>
      </c>
      <c r="I108" s="9">
        <v>135</v>
      </c>
      <c r="J108" s="9">
        <v>10</v>
      </c>
      <c r="K108" s="8" t="s">
        <v>1397</v>
      </c>
    </row>
    <row r="109" spans="1:11" ht="15.75" customHeight="1" x14ac:dyDescent="0.25">
      <c r="A109" s="10" t="s">
        <v>1392</v>
      </c>
      <c r="B109" s="10" t="s">
        <v>1398</v>
      </c>
      <c r="C109" s="11">
        <v>850</v>
      </c>
      <c r="D109" s="10" t="s">
        <v>843</v>
      </c>
      <c r="E109" s="10" t="s">
        <v>845</v>
      </c>
      <c r="F109" s="10" t="s">
        <v>119</v>
      </c>
      <c r="G109" s="10" t="s">
        <v>795</v>
      </c>
      <c r="H109" s="10" t="s">
        <v>203</v>
      </c>
      <c r="I109" s="11">
        <v>135</v>
      </c>
      <c r="J109" s="11">
        <v>10</v>
      </c>
      <c r="K109" s="10" t="s">
        <v>1397</v>
      </c>
    </row>
    <row r="110" spans="1:11" ht="15.75" customHeight="1" x14ac:dyDescent="0.25">
      <c r="A110" s="8" t="s">
        <v>1392</v>
      </c>
      <c r="B110" s="8" t="s">
        <v>1399</v>
      </c>
      <c r="C110" s="9">
        <v>1000</v>
      </c>
      <c r="D110" s="8" t="s">
        <v>843</v>
      </c>
      <c r="E110" s="8" t="s">
        <v>845</v>
      </c>
      <c r="F110" s="8" t="s">
        <v>119</v>
      </c>
      <c r="G110" s="8" t="s">
        <v>996</v>
      </c>
      <c r="H110" s="8" t="s">
        <v>998</v>
      </c>
      <c r="I110" s="9">
        <v>135</v>
      </c>
      <c r="J110" s="9">
        <v>10</v>
      </c>
      <c r="K110" s="8" t="s">
        <v>1397</v>
      </c>
    </row>
    <row r="111" spans="1:11" ht="15.75" customHeight="1" x14ac:dyDescent="0.25">
      <c r="A111" s="10" t="s">
        <v>1392</v>
      </c>
      <c r="B111" s="10" t="s">
        <v>1400</v>
      </c>
      <c r="C111" s="11">
        <v>850</v>
      </c>
      <c r="D111" s="10" t="s">
        <v>843</v>
      </c>
      <c r="E111" s="10" t="s">
        <v>845</v>
      </c>
      <c r="F111" s="10" t="s">
        <v>1401</v>
      </c>
      <c r="G111" s="10" t="s">
        <v>996</v>
      </c>
      <c r="H111" s="10" t="s">
        <v>998</v>
      </c>
      <c r="I111" s="11">
        <v>92</v>
      </c>
      <c r="J111" s="11">
        <v>7</v>
      </c>
      <c r="K111" s="10" t="s">
        <v>1402</v>
      </c>
    </row>
    <row r="112" spans="1:11" ht="15.75" customHeight="1" x14ac:dyDescent="0.25">
      <c r="A112" s="8" t="s">
        <v>1403</v>
      </c>
      <c r="B112" s="8" t="s">
        <v>1404</v>
      </c>
      <c r="C112" s="9">
        <v>650</v>
      </c>
      <c r="D112" s="8" t="s">
        <v>843</v>
      </c>
      <c r="E112" s="8" t="s">
        <v>845</v>
      </c>
      <c r="F112" s="8" t="s">
        <v>119</v>
      </c>
      <c r="G112" s="8" t="s">
        <v>795</v>
      </c>
      <c r="H112" s="8" t="s">
        <v>203</v>
      </c>
      <c r="I112" s="9">
        <v>135</v>
      </c>
      <c r="J112" s="9">
        <v>7</v>
      </c>
      <c r="K112" s="8" t="s">
        <v>1406</v>
      </c>
    </row>
    <row r="113" spans="1:11" ht="15.75" customHeight="1" x14ac:dyDescent="0.25">
      <c r="A113" s="10" t="s">
        <v>1403</v>
      </c>
      <c r="B113" s="10" t="s">
        <v>1407</v>
      </c>
      <c r="C113" s="11">
        <v>850</v>
      </c>
      <c r="D113" s="10" t="s">
        <v>843</v>
      </c>
      <c r="E113" s="10" t="s">
        <v>845</v>
      </c>
      <c r="F113" s="10" t="s">
        <v>119</v>
      </c>
      <c r="G113" s="10" t="s">
        <v>795</v>
      </c>
      <c r="H113" s="10" t="s">
        <v>203</v>
      </c>
      <c r="I113" s="11">
        <v>135</v>
      </c>
      <c r="J113" s="11">
        <v>7</v>
      </c>
      <c r="K113" s="10" t="s">
        <v>1406</v>
      </c>
    </row>
    <row r="114" spans="1:11" ht="15.75" customHeight="1" x14ac:dyDescent="0.25">
      <c r="A114" s="8" t="s">
        <v>1403</v>
      </c>
      <c r="B114" s="8" t="s">
        <v>1409</v>
      </c>
      <c r="C114" s="9">
        <v>1000</v>
      </c>
      <c r="D114" s="8" t="s">
        <v>843</v>
      </c>
      <c r="E114" s="8" t="s">
        <v>845</v>
      </c>
      <c r="F114" s="8" t="s">
        <v>119</v>
      </c>
      <c r="G114" s="8" t="s">
        <v>996</v>
      </c>
      <c r="H114" s="8" t="s">
        <v>998</v>
      </c>
      <c r="I114" s="9">
        <v>135</v>
      </c>
      <c r="J114" s="9">
        <v>10</v>
      </c>
      <c r="K114" s="8" t="s">
        <v>996</v>
      </c>
    </row>
    <row r="115" spans="1:11" ht="15.75" customHeight="1" x14ac:dyDescent="0.25">
      <c r="A115" s="10" t="s">
        <v>979</v>
      </c>
      <c r="B115" s="10" t="s">
        <v>1410</v>
      </c>
      <c r="C115" s="11">
        <v>650</v>
      </c>
      <c r="D115" s="10" t="s">
        <v>843</v>
      </c>
      <c r="E115" s="10" t="s">
        <v>845</v>
      </c>
      <c r="F115" s="10" t="s">
        <v>119</v>
      </c>
      <c r="G115" s="10" t="s">
        <v>996</v>
      </c>
      <c r="H115" s="10" t="s">
        <v>203</v>
      </c>
      <c r="I115" s="11">
        <v>120</v>
      </c>
      <c r="J115" s="11">
        <v>5</v>
      </c>
      <c r="K115" s="10" t="s">
        <v>1412</v>
      </c>
    </row>
    <row r="116" spans="1:11" ht="15.75" customHeight="1" x14ac:dyDescent="0.25">
      <c r="A116" s="8" t="s">
        <v>979</v>
      </c>
      <c r="B116" s="8" t="s">
        <v>1413</v>
      </c>
      <c r="C116" s="9">
        <v>750</v>
      </c>
      <c r="D116" s="8" t="s">
        <v>843</v>
      </c>
      <c r="E116" s="8" t="s">
        <v>845</v>
      </c>
      <c r="F116" s="8" t="s">
        <v>119</v>
      </c>
      <c r="G116" s="8" t="s">
        <v>996</v>
      </c>
      <c r="H116" s="8" t="s">
        <v>203</v>
      </c>
      <c r="I116" s="9">
        <v>120</v>
      </c>
      <c r="J116" s="9">
        <v>5</v>
      </c>
      <c r="K116" s="8" t="s">
        <v>1412</v>
      </c>
    </row>
    <row r="117" spans="1:11" ht="15.75" customHeight="1" x14ac:dyDescent="0.25">
      <c r="A117" s="10" t="s">
        <v>979</v>
      </c>
      <c r="B117" s="10" t="s">
        <v>1415</v>
      </c>
      <c r="C117" s="11">
        <v>850</v>
      </c>
      <c r="D117" s="10" t="s">
        <v>843</v>
      </c>
      <c r="E117" s="10" t="s">
        <v>845</v>
      </c>
      <c r="F117" s="10" t="s">
        <v>119</v>
      </c>
      <c r="G117" s="10" t="s">
        <v>996</v>
      </c>
      <c r="H117" s="10" t="s">
        <v>203</v>
      </c>
      <c r="I117" s="11">
        <v>120</v>
      </c>
      <c r="J117" s="11">
        <v>5</v>
      </c>
      <c r="K117" s="10" t="s">
        <v>1412</v>
      </c>
    </row>
    <row r="118" spans="1:11" ht="15.75" customHeight="1" x14ac:dyDescent="0.25">
      <c r="A118" s="8" t="s">
        <v>979</v>
      </c>
      <c r="B118" s="8" t="s">
        <v>1417</v>
      </c>
      <c r="C118" s="9">
        <v>850</v>
      </c>
      <c r="D118" s="8" t="s">
        <v>843</v>
      </c>
      <c r="E118" s="8" t="s">
        <v>845</v>
      </c>
      <c r="F118" s="8" t="s">
        <v>119</v>
      </c>
      <c r="G118" s="8" t="s">
        <v>996</v>
      </c>
      <c r="H118" s="8" t="s">
        <v>998</v>
      </c>
      <c r="I118" s="9">
        <v>135</v>
      </c>
      <c r="J118" s="9">
        <v>10</v>
      </c>
      <c r="K118" s="8" t="s">
        <v>1420</v>
      </c>
    </row>
    <row r="119" spans="1:11" ht="15.75" customHeight="1" x14ac:dyDescent="0.25">
      <c r="A119" s="10" t="s">
        <v>979</v>
      </c>
      <c r="B119" s="10" t="s">
        <v>1421</v>
      </c>
      <c r="C119" s="11">
        <v>1000</v>
      </c>
      <c r="D119" s="10" t="s">
        <v>843</v>
      </c>
      <c r="E119" s="10" t="s">
        <v>845</v>
      </c>
      <c r="F119" s="10" t="s">
        <v>119</v>
      </c>
      <c r="G119" s="10" t="s">
        <v>996</v>
      </c>
      <c r="H119" s="10" t="s">
        <v>998</v>
      </c>
      <c r="I119" s="11">
        <v>135</v>
      </c>
      <c r="J119" s="11">
        <v>10</v>
      </c>
      <c r="K119" s="10" t="s">
        <v>1420</v>
      </c>
    </row>
    <row r="120" spans="1:11" ht="15.75" customHeight="1" x14ac:dyDescent="0.25">
      <c r="A120" s="8" t="s">
        <v>328</v>
      </c>
      <c r="B120" s="8" t="s">
        <v>1422</v>
      </c>
      <c r="C120" s="9">
        <v>550</v>
      </c>
      <c r="D120" s="8" t="s">
        <v>790</v>
      </c>
      <c r="E120" s="8" t="s">
        <v>792</v>
      </c>
      <c r="F120" s="8" t="s">
        <v>119</v>
      </c>
      <c r="G120" s="8" t="s">
        <v>795</v>
      </c>
      <c r="H120" s="8" t="s">
        <v>203</v>
      </c>
      <c r="I120" s="9">
        <v>120</v>
      </c>
      <c r="J120" s="9">
        <v>5</v>
      </c>
      <c r="K120" s="8" t="s">
        <v>1423</v>
      </c>
    </row>
    <row r="121" spans="1:11" ht="15.75" customHeight="1" x14ac:dyDescent="0.25">
      <c r="A121" s="10" t="s">
        <v>328</v>
      </c>
      <c r="B121" s="10" t="s">
        <v>1424</v>
      </c>
      <c r="C121" s="11">
        <v>650</v>
      </c>
      <c r="D121" s="10" t="s">
        <v>790</v>
      </c>
      <c r="E121" s="10" t="s">
        <v>792</v>
      </c>
      <c r="F121" s="10" t="s">
        <v>119</v>
      </c>
      <c r="G121" s="10" t="s">
        <v>795</v>
      </c>
      <c r="H121" s="10" t="s">
        <v>203</v>
      </c>
      <c r="I121" s="11">
        <v>120</v>
      </c>
      <c r="J121" s="11">
        <v>5</v>
      </c>
      <c r="K121" s="10" t="s">
        <v>1423</v>
      </c>
    </row>
    <row r="122" spans="1:11" ht="15.75" customHeight="1" x14ac:dyDescent="0.25">
      <c r="A122" s="8" t="s">
        <v>328</v>
      </c>
      <c r="B122" s="8" t="s">
        <v>1425</v>
      </c>
      <c r="C122" s="9">
        <v>650</v>
      </c>
      <c r="D122" s="8" t="s">
        <v>843</v>
      </c>
      <c r="E122" s="8" t="s">
        <v>845</v>
      </c>
      <c r="F122" s="8" t="s">
        <v>119</v>
      </c>
      <c r="G122" s="8" t="s">
        <v>996</v>
      </c>
      <c r="H122" s="8" t="s">
        <v>998</v>
      </c>
      <c r="I122" s="9">
        <v>120</v>
      </c>
      <c r="J122" s="9">
        <v>10</v>
      </c>
      <c r="K122" s="8" t="s">
        <v>1427</v>
      </c>
    </row>
    <row r="123" spans="1:11" ht="15.75" customHeight="1" x14ac:dyDescent="0.25">
      <c r="A123" s="10" t="s">
        <v>328</v>
      </c>
      <c r="B123" s="10" t="s">
        <v>1428</v>
      </c>
      <c r="C123" s="11">
        <v>750</v>
      </c>
      <c r="D123" s="10" t="s">
        <v>843</v>
      </c>
      <c r="E123" s="10" t="s">
        <v>845</v>
      </c>
      <c r="F123" s="10" t="s">
        <v>119</v>
      </c>
      <c r="G123" s="10" t="s">
        <v>996</v>
      </c>
      <c r="H123" s="10" t="s">
        <v>998</v>
      </c>
      <c r="I123" s="11">
        <v>120</v>
      </c>
      <c r="J123" s="11">
        <v>10</v>
      </c>
      <c r="K123" s="10" t="s">
        <v>1427</v>
      </c>
    </row>
    <row r="124" spans="1:11" ht="15.75" customHeight="1" x14ac:dyDescent="0.25">
      <c r="A124" s="8" t="s">
        <v>328</v>
      </c>
      <c r="B124" s="8" t="s">
        <v>1430</v>
      </c>
      <c r="C124" s="9">
        <v>850</v>
      </c>
      <c r="D124" s="8" t="s">
        <v>843</v>
      </c>
      <c r="E124" s="8" t="s">
        <v>845</v>
      </c>
      <c r="F124" s="8" t="s">
        <v>119</v>
      </c>
      <c r="G124" s="8" t="s">
        <v>996</v>
      </c>
      <c r="H124" s="8" t="s">
        <v>998</v>
      </c>
      <c r="I124" s="9">
        <v>135</v>
      </c>
      <c r="J124" s="9">
        <v>10</v>
      </c>
      <c r="K124" s="8" t="s">
        <v>1427</v>
      </c>
    </row>
    <row r="125" spans="1:11" ht="15.75" customHeight="1" x14ac:dyDescent="0.25">
      <c r="A125" s="10" t="s">
        <v>328</v>
      </c>
      <c r="B125" s="10" t="s">
        <v>1432</v>
      </c>
      <c r="C125" s="11">
        <v>1000</v>
      </c>
      <c r="D125" s="10" t="s">
        <v>843</v>
      </c>
      <c r="E125" s="10" t="s">
        <v>845</v>
      </c>
      <c r="F125" s="10" t="s">
        <v>119</v>
      </c>
      <c r="G125" s="10" t="s">
        <v>996</v>
      </c>
      <c r="H125" s="10" t="s">
        <v>998</v>
      </c>
      <c r="I125" s="11">
        <v>135</v>
      </c>
      <c r="J125" s="11">
        <v>10</v>
      </c>
      <c r="K125" s="10" t="s">
        <v>1427</v>
      </c>
    </row>
    <row r="126" spans="1:11" ht="15.75" customHeight="1" x14ac:dyDescent="0.25">
      <c r="A126" s="8" t="s">
        <v>1064</v>
      </c>
      <c r="B126" s="8" t="s">
        <v>1433</v>
      </c>
      <c r="C126" s="9">
        <v>550</v>
      </c>
      <c r="D126" s="8" t="s">
        <v>790</v>
      </c>
      <c r="E126" s="8" t="s">
        <v>822</v>
      </c>
      <c r="F126" s="8" t="s">
        <v>119</v>
      </c>
      <c r="G126" s="8" t="s">
        <v>795</v>
      </c>
      <c r="H126" s="8" t="s">
        <v>203</v>
      </c>
      <c r="I126" s="9">
        <v>120</v>
      </c>
      <c r="J126" s="9">
        <v>5</v>
      </c>
      <c r="K126" s="8" t="s">
        <v>1435</v>
      </c>
    </row>
    <row r="127" spans="1:11" ht="15.75" customHeight="1" x14ac:dyDescent="0.25">
      <c r="A127" s="10" t="s">
        <v>1064</v>
      </c>
      <c r="B127" s="10" t="s">
        <v>1436</v>
      </c>
      <c r="C127" s="11">
        <v>650</v>
      </c>
      <c r="D127" s="10" t="s">
        <v>843</v>
      </c>
      <c r="E127" s="10" t="s">
        <v>845</v>
      </c>
      <c r="F127" s="10" t="s">
        <v>119</v>
      </c>
      <c r="G127" s="10" t="s">
        <v>795</v>
      </c>
      <c r="H127" s="10" t="s">
        <v>203</v>
      </c>
      <c r="I127" s="11">
        <v>120</v>
      </c>
      <c r="J127" s="11">
        <v>10</v>
      </c>
      <c r="K127" s="10" t="s">
        <v>1255</v>
      </c>
    </row>
    <row r="128" spans="1:11" ht="15.75" customHeight="1" x14ac:dyDescent="0.25">
      <c r="A128" s="8" t="s">
        <v>1064</v>
      </c>
      <c r="B128" s="8" t="s">
        <v>1437</v>
      </c>
      <c r="C128" s="9">
        <v>750</v>
      </c>
      <c r="D128" s="8" t="s">
        <v>843</v>
      </c>
      <c r="E128" s="8" t="s">
        <v>845</v>
      </c>
      <c r="F128" s="8" t="s">
        <v>119</v>
      </c>
      <c r="G128" s="8" t="s">
        <v>795</v>
      </c>
      <c r="H128" s="8" t="s">
        <v>203</v>
      </c>
      <c r="I128" s="9">
        <v>120</v>
      </c>
      <c r="J128" s="9">
        <v>10</v>
      </c>
      <c r="K128" s="8" t="s">
        <v>1255</v>
      </c>
    </row>
    <row r="129" spans="1:11" ht="15.75" customHeight="1" x14ac:dyDescent="0.25">
      <c r="A129" s="10" t="s">
        <v>1064</v>
      </c>
      <c r="B129" s="10" t="s">
        <v>1439</v>
      </c>
      <c r="C129" s="11">
        <v>1000</v>
      </c>
      <c r="D129" s="10" t="s">
        <v>1038</v>
      </c>
      <c r="E129" s="10" t="s">
        <v>845</v>
      </c>
      <c r="F129" s="10" t="s">
        <v>119</v>
      </c>
      <c r="G129" s="10" t="s">
        <v>996</v>
      </c>
      <c r="H129" s="10" t="s">
        <v>998</v>
      </c>
      <c r="I129" s="11">
        <v>135</v>
      </c>
      <c r="J129" s="11">
        <v>10</v>
      </c>
      <c r="K129" s="10" t="s">
        <v>1442</v>
      </c>
    </row>
    <row r="130" spans="1:11" ht="15.75" customHeight="1" x14ac:dyDescent="0.25">
      <c r="A130" s="8" t="s">
        <v>1273</v>
      </c>
      <c r="B130" s="8" t="s">
        <v>1443</v>
      </c>
      <c r="C130" s="9">
        <v>650</v>
      </c>
      <c r="D130" s="8" t="s">
        <v>843</v>
      </c>
      <c r="E130" s="8" t="s">
        <v>792</v>
      </c>
      <c r="F130" s="8" t="s">
        <v>119</v>
      </c>
      <c r="G130" s="8" t="s">
        <v>795</v>
      </c>
      <c r="H130" s="8" t="s">
        <v>203</v>
      </c>
      <c r="I130" s="9">
        <v>120</v>
      </c>
      <c r="J130" s="9">
        <v>3</v>
      </c>
      <c r="K130" s="8" t="s">
        <v>1444</v>
      </c>
    </row>
    <row r="131" spans="1:11" ht="15.75" customHeight="1" x14ac:dyDescent="0.25">
      <c r="A131" s="10" t="s">
        <v>1273</v>
      </c>
      <c r="B131" s="10" t="s">
        <v>1445</v>
      </c>
      <c r="C131" s="11">
        <v>750</v>
      </c>
      <c r="D131" s="10" t="s">
        <v>843</v>
      </c>
      <c r="E131" s="10" t="s">
        <v>792</v>
      </c>
      <c r="F131" s="10" t="s">
        <v>119</v>
      </c>
      <c r="G131" s="10" t="s">
        <v>795</v>
      </c>
      <c r="H131" s="10" t="s">
        <v>203</v>
      </c>
      <c r="I131" s="11">
        <v>120</v>
      </c>
      <c r="J131" s="11">
        <v>3</v>
      </c>
      <c r="K131" s="10" t="s">
        <v>1444</v>
      </c>
    </row>
    <row r="132" spans="1:11" ht="15.75" customHeight="1" x14ac:dyDescent="0.25">
      <c r="A132" s="8" t="s">
        <v>1273</v>
      </c>
      <c r="B132" s="8" t="s">
        <v>1446</v>
      </c>
      <c r="C132" s="9">
        <v>850</v>
      </c>
      <c r="D132" s="8" t="s">
        <v>843</v>
      </c>
      <c r="E132" s="8" t="s">
        <v>845</v>
      </c>
      <c r="F132" s="8" t="s">
        <v>119</v>
      </c>
      <c r="G132" s="8" t="s">
        <v>795</v>
      </c>
      <c r="H132" s="8" t="s">
        <v>203</v>
      </c>
      <c r="I132" s="9">
        <v>135</v>
      </c>
      <c r="J132" s="9">
        <v>5</v>
      </c>
      <c r="K132" s="8" t="s">
        <v>1447</v>
      </c>
    </row>
    <row r="133" spans="1:11" ht="15.75" customHeight="1" x14ac:dyDescent="0.25">
      <c r="A133" s="10" t="s">
        <v>1273</v>
      </c>
      <c r="B133" s="10" t="s">
        <v>1448</v>
      </c>
      <c r="C133" s="11">
        <v>1000</v>
      </c>
      <c r="D133" s="10" t="s">
        <v>843</v>
      </c>
      <c r="E133" s="10" t="s">
        <v>845</v>
      </c>
      <c r="F133" s="10" t="s">
        <v>119</v>
      </c>
      <c r="G133" s="10" t="s">
        <v>795</v>
      </c>
      <c r="H133" s="10" t="s">
        <v>203</v>
      </c>
      <c r="I133" s="11">
        <v>135</v>
      </c>
      <c r="J133" s="11">
        <v>5</v>
      </c>
      <c r="K133" s="10" t="s">
        <v>1447</v>
      </c>
    </row>
    <row r="134" spans="1:11" ht="15.75" customHeight="1" x14ac:dyDescent="0.25">
      <c r="A134" s="8" t="s">
        <v>965</v>
      </c>
      <c r="B134" s="8" t="s">
        <v>1449</v>
      </c>
      <c r="C134" s="9">
        <v>850</v>
      </c>
      <c r="D134" s="8" t="s">
        <v>843</v>
      </c>
      <c r="E134" s="8" t="s">
        <v>845</v>
      </c>
      <c r="F134" s="8" t="s">
        <v>119</v>
      </c>
      <c r="G134" s="8" t="s">
        <v>996</v>
      </c>
      <c r="H134" s="8" t="s">
        <v>998</v>
      </c>
      <c r="I134" s="9">
        <v>135</v>
      </c>
      <c r="J134" s="9">
        <v>10</v>
      </c>
      <c r="K134" s="8" t="s">
        <v>1452</v>
      </c>
    </row>
    <row r="135" spans="1:11" ht="15.75" customHeight="1" x14ac:dyDescent="0.25">
      <c r="A135" s="10" t="s">
        <v>965</v>
      </c>
      <c r="B135" s="10" t="s">
        <v>1453</v>
      </c>
      <c r="C135" s="11">
        <v>1000</v>
      </c>
      <c r="D135" s="10" t="s">
        <v>843</v>
      </c>
      <c r="E135" s="10" t="s">
        <v>845</v>
      </c>
      <c r="F135" s="10" t="s">
        <v>119</v>
      </c>
      <c r="G135" s="10" t="s">
        <v>996</v>
      </c>
      <c r="H135" s="10" t="s">
        <v>998</v>
      </c>
      <c r="I135" s="11">
        <v>135</v>
      </c>
      <c r="J135" s="11">
        <v>10</v>
      </c>
      <c r="K135" s="10" t="s">
        <v>1452</v>
      </c>
    </row>
    <row r="136" spans="1:11" ht="15.75" customHeight="1" x14ac:dyDescent="0.25">
      <c r="A136" s="8" t="s">
        <v>965</v>
      </c>
      <c r="B136" s="8" t="s">
        <v>1454</v>
      </c>
      <c r="C136" s="9">
        <v>850</v>
      </c>
      <c r="D136" s="8" t="s">
        <v>843</v>
      </c>
      <c r="E136" s="8" t="s">
        <v>845</v>
      </c>
      <c r="F136" s="8" t="s">
        <v>119</v>
      </c>
      <c r="G136" s="8" t="s">
        <v>996</v>
      </c>
      <c r="H136" s="8" t="s">
        <v>998</v>
      </c>
      <c r="I136" s="9">
        <v>135</v>
      </c>
      <c r="J136" s="9">
        <v>10</v>
      </c>
      <c r="K136" s="8" t="s">
        <v>1455</v>
      </c>
    </row>
    <row r="137" spans="1:11" ht="15.75" customHeight="1" x14ac:dyDescent="0.25">
      <c r="A137" s="10" t="s">
        <v>789</v>
      </c>
      <c r="B137" s="10" t="s">
        <v>1456</v>
      </c>
      <c r="C137" s="11">
        <v>750</v>
      </c>
      <c r="D137" s="10" t="s">
        <v>843</v>
      </c>
      <c r="E137" s="10" t="s">
        <v>845</v>
      </c>
      <c r="F137" s="10" t="s">
        <v>920</v>
      </c>
      <c r="G137" s="10" t="s">
        <v>795</v>
      </c>
      <c r="H137" s="10" t="s">
        <v>203</v>
      </c>
      <c r="I137" s="11">
        <v>92</v>
      </c>
      <c r="J137" s="11">
        <v>5</v>
      </c>
      <c r="K137" s="10" t="s">
        <v>1402</v>
      </c>
    </row>
    <row r="138" spans="1:11" ht="15.75" customHeight="1" x14ac:dyDescent="0.25">
      <c r="A138" s="8" t="s">
        <v>789</v>
      </c>
      <c r="B138" s="8" t="s">
        <v>1457</v>
      </c>
      <c r="C138" s="9">
        <v>1000</v>
      </c>
      <c r="D138" s="8" t="s">
        <v>843</v>
      </c>
      <c r="E138" s="8" t="s">
        <v>845</v>
      </c>
      <c r="F138" s="8" t="s">
        <v>119</v>
      </c>
      <c r="G138" s="8" t="s">
        <v>996</v>
      </c>
      <c r="H138" s="8" t="s">
        <v>998</v>
      </c>
      <c r="I138" s="9">
        <v>135</v>
      </c>
      <c r="J138" s="9">
        <v>10</v>
      </c>
      <c r="K138" s="8" t="s">
        <v>1459</v>
      </c>
    </row>
    <row r="139" spans="1:11" ht="15.75" customHeight="1" x14ac:dyDescent="0.25"/>
    <row r="140" spans="1:11" ht="15.75" customHeight="1" x14ac:dyDescent="0.25"/>
    <row r="141" spans="1:11" ht="15.75" customHeight="1" x14ac:dyDescent="0.25"/>
    <row r="142" spans="1:11" ht="15.75" customHeight="1" x14ac:dyDescent="0.25"/>
    <row r="143" spans="1:11" ht="15.75" customHeight="1" x14ac:dyDescent="0.25"/>
    <row r="144" spans="1:1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138"/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M1000"/>
  <sheetViews>
    <sheetView topLeftCell="F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7" customWidth="1"/>
    <col min="2" max="2" width="32" customWidth="1"/>
    <col min="3" max="3" width="22" customWidth="1"/>
    <col min="4" max="4" width="46" customWidth="1"/>
    <col min="5" max="5" width="28" customWidth="1"/>
    <col min="6" max="6" width="31" customWidth="1"/>
    <col min="7" max="7" width="22" customWidth="1"/>
    <col min="8" max="8" width="29" customWidth="1"/>
    <col min="9" max="9" width="22" customWidth="1"/>
    <col min="10" max="10" width="40" customWidth="1"/>
    <col min="11" max="11" width="34" customWidth="1"/>
    <col min="12" max="12" width="19" customWidth="1"/>
    <col min="13" max="13" width="42" customWidth="1"/>
    <col min="14" max="26" width="8.7109375" customWidth="1"/>
  </cols>
  <sheetData>
    <row r="1" spans="1:13" ht="31.5" customHeight="1" x14ac:dyDescent="0.25">
      <c r="A1" s="2" t="s">
        <v>1</v>
      </c>
      <c r="B1" s="2" t="s">
        <v>4</v>
      </c>
      <c r="C1" s="2" t="s">
        <v>773</v>
      </c>
      <c r="D1" s="2" t="s">
        <v>775</v>
      </c>
      <c r="E1" s="2" t="s">
        <v>777</v>
      </c>
      <c r="F1" s="2" t="s">
        <v>779</v>
      </c>
      <c r="G1" s="2" t="s">
        <v>780</v>
      </c>
      <c r="H1" s="2" t="s">
        <v>781</v>
      </c>
      <c r="I1" s="2" t="s">
        <v>782</v>
      </c>
      <c r="J1" s="2" t="s">
        <v>783</v>
      </c>
      <c r="K1" s="2" t="s">
        <v>784</v>
      </c>
      <c r="L1" s="2" t="s">
        <v>786</v>
      </c>
      <c r="M1" s="2" t="s">
        <v>787</v>
      </c>
    </row>
    <row r="2" spans="1:13" x14ac:dyDescent="0.25">
      <c r="A2" s="8" t="s">
        <v>789</v>
      </c>
      <c r="B2" s="8" t="s">
        <v>791</v>
      </c>
      <c r="C2" s="8" t="s">
        <v>793</v>
      </c>
      <c r="D2" s="8" t="s">
        <v>794</v>
      </c>
      <c r="E2" s="8" t="s">
        <v>796</v>
      </c>
      <c r="F2" s="8" t="s">
        <v>797</v>
      </c>
      <c r="G2" s="9">
        <v>423</v>
      </c>
      <c r="H2" s="9">
        <v>167</v>
      </c>
      <c r="I2" s="9">
        <v>220</v>
      </c>
      <c r="J2" s="8" t="s">
        <v>800</v>
      </c>
      <c r="K2" s="8" t="s">
        <v>801</v>
      </c>
      <c r="L2" s="8" t="s">
        <v>802</v>
      </c>
      <c r="M2" s="8" t="s">
        <v>803</v>
      </c>
    </row>
    <row r="3" spans="1:13" x14ac:dyDescent="0.25">
      <c r="A3" s="10" t="s">
        <v>789</v>
      </c>
      <c r="B3" s="10" t="s">
        <v>805</v>
      </c>
      <c r="C3" s="10" t="s">
        <v>793</v>
      </c>
      <c r="D3" s="10" t="s">
        <v>794</v>
      </c>
      <c r="E3" s="10" t="s">
        <v>806</v>
      </c>
      <c r="F3" s="10" t="s">
        <v>797</v>
      </c>
      <c r="G3" s="11">
        <v>392</v>
      </c>
      <c r="H3" s="11">
        <v>180</v>
      </c>
      <c r="I3" s="11">
        <v>220</v>
      </c>
      <c r="J3" s="10" t="s">
        <v>809</v>
      </c>
      <c r="K3" s="10" t="s">
        <v>810</v>
      </c>
      <c r="L3" s="10" t="s">
        <v>811</v>
      </c>
      <c r="M3" s="10" t="s">
        <v>803</v>
      </c>
    </row>
    <row r="4" spans="1:13" x14ac:dyDescent="0.25">
      <c r="A4" s="8" t="s">
        <v>789</v>
      </c>
      <c r="B4" s="8" t="s">
        <v>813</v>
      </c>
      <c r="C4" s="8" t="s">
        <v>793</v>
      </c>
      <c r="D4" s="8" t="s">
        <v>794</v>
      </c>
      <c r="E4" s="8" t="s">
        <v>806</v>
      </c>
      <c r="F4" s="8" t="s">
        <v>814</v>
      </c>
      <c r="G4" s="9">
        <v>435</v>
      </c>
      <c r="H4" s="9">
        <v>187</v>
      </c>
      <c r="I4" s="9">
        <v>220</v>
      </c>
      <c r="J4" s="8" t="s">
        <v>816</v>
      </c>
      <c r="K4" s="8" t="s">
        <v>817</v>
      </c>
      <c r="L4" s="8" t="s">
        <v>818</v>
      </c>
      <c r="M4" s="8" t="s">
        <v>803</v>
      </c>
    </row>
    <row r="5" spans="1:13" x14ac:dyDescent="0.25">
      <c r="A5" s="10" t="s">
        <v>820</v>
      </c>
      <c r="B5" s="10" t="s">
        <v>821</v>
      </c>
      <c r="C5" s="10" t="s">
        <v>793</v>
      </c>
      <c r="D5" s="10" t="s">
        <v>824</v>
      </c>
      <c r="E5" s="10" t="s">
        <v>806</v>
      </c>
      <c r="F5" s="10" t="s">
        <v>797</v>
      </c>
      <c r="G5" s="11">
        <v>410</v>
      </c>
      <c r="H5" s="11">
        <v>165</v>
      </c>
      <c r="I5" s="11">
        <v>200</v>
      </c>
      <c r="J5" s="10" t="s">
        <v>825</v>
      </c>
      <c r="K5" s="10" t="s">
        <v>826</v>
      </c>
      <c r="L5" s="10" t="s">
        <v>827</v>
      </c>
      <c r="M5" s="10" t="s">
        <v>828</v>
      </c>
    </row>
    <row r="6" spans="1:13" x14ac:dyDescent="0.25">
      <c r="A6" s="8" t="s">
        <v>820</v>
      </c>
      <c r="B6" s="8" t="s">
        <v>829</v>
      </c>
      <c r="C6" s="8" t="s">
        <v>793</v>
      </c>
      <c r="D6" s="8" t="s">
        <v>794</v>
      </c>
      <c r="E6" s="8" t="s">
        <v>806</v>
      </c>
      <c r="F6" s="8" t="s">
        <v>797</v>
      </c>
      <c r="G6" s="9">
        <v>400</v>
      </c>
      <c r="H6" s="9">
        <v>185</v>
      </c>
      <c r="I6" s="9">
        <v>200</v>
      </c>
      <c r="J6" s="8" t="s">
        <v>831</v>
      </c>
      <c r="K6" s="8" t="s">
        <v>832</v>
      </c>
      <c r="L6" s="8" t="s">
        <v>811</v>
      </c>
      <c r="M6" s="8" t="s">
        <v>834</v>
      </c>
    </row>
    <row r="7" spans="1:13" x14ac:dyDescent="0.25">
      <c r="A7" s="10" t="s">
        <v>820</v>
      </c>
      <c r="B7" s="10" t="s">
        <v>835</v>
      </c>
      <c r="C7" s="10" t="s">
        <v>793</v>
      </c>
      <c r="D7" s="10" t="s">
        <v>824</v>
      </c>
      <c r="E7" s="10" t="s">
        <v>837</v>
      </c>
      <c r="F7" s="10" t="s">
        <v>838</v>
      </c>
      <c r="G7" s="11">
        <v>435</v>
      </c>
      <c r="H7" s="11">
        <v>165</v>
      </c>
      <c r="I7" s="11">
        <v>200</v>
      </c>
      <c r="J7" s="10" t="s">
        <v>800</v>
      </c>
      <c r="K7" s="10" t="s">
        <v>832</v>
      </c>
      <c r="L7" s="10" t="s">
        <v>811</v>
      </c>
      <c r="M7" s="10" t="s">
        <v>834</v>
      </c>
    </row>
    <row r="8" spans="1:13" x14ac:dyDescent="0.25">
      <c r="A8" s="8" t="s">
        <v>244</v>
      </c>
      <c r="B8" s="8" t="s">
        <v>844</v>
      </c>
      <c r="C8" s="8" t="s">
        <v>793</v>
      </c>
      <c r="D8" s="8" t="s">
        <v>794</v>
      </c>
      <c r="E8" s="8" t="s">
        <v>806</v>
      </c>
      <c r="F8" s="8" t="s">
        <v>797</v>
      </c>
      <c r="G8" s="9">
        <v>360</v>
      </c>
      <c r="H8" s="9">
        <v>170</v>
      </c>
      <c r="I8" s="9">
        <v>220</v>
      </c>
      <c r="J8" s="8" t="s">
        <v>848</v>
      </c>
      <c r="K8" s="8" t="s">
        <v>826</v>
      </c>
      <c r="L8" s="8" t="s">
        <v>850</v>
      </c>
      <c r="M8" s="8" t="s">
        <v>852</v>
      </c>
    </row>
    <row r="9" spans="1:13" x14ac:dyDescent="0.25">
      <c r="A9" s="10" t="s">
        <v>244</v>
      </c>
      <c r="B9" s="10" t="s">
        <v>853</v>
      </c>
      <c r="C9" s="10" t="s">
        <v>793</v>
      </c>
      <c r="D9" s="10" t="s">
        <v>794</v>
      </c>
      <c r="E9" s="10" t="s">
        <v>837</v>
      </c>
      <c r="F9" s="10" t="s">
        <v>838</v>
      </c>
      <c r="G9" s="11">
        <v>400</v>
      </c>
      <c r="H9" s="11">
        <v>170</v>
      </c>
      <c r="I9" s="11">
        <v>220</v>
      </c>
      <c r="J9" s="10" t="s">
        <v>859</v>
      </c>
      <c r="K9" s="10" t="s">
        <v>860</v>
      </c>
      <c r="L9" s="10" t="s">
        <v>850</v>
      </c>
      <c r="M9" s="10" t="s">
        <v>803</v>
      </c>
    </row>
    <row r="10" spans="1:13" x14ac:dyDescent="0.25">
      <c r="A10" s="8" t="s">
        <v>244</v>
      </c>
      <c r="B10" s="8" t="s">
        <v>862</v>
      </c>
      <c r="C10" s="8" t="s">
        <v>793</v>
      </c>
      <c r="D10" s="8" t="s">
        <v>794</v>
      </c>
      <c r="E10" s="8" t="s">
        <v>806</v>
      </c>
      <c r="F10" s="8" t="s">
        <v>797</v>
      </c>
      <c r="G10" s="9">
        <v>420</v>
      </c>
      <c r="H10" s="9">
        <v>170</v>
      </c>
      <c r="I10" s="9">
        <v>225</v>
      </c>
      <c r="J10" s="8" t="s">
        <v>864</v>
      </c>
      <c r="K10" s="8" t="s">
        <v>826</v>
      </c>
      <c r="L10" s="8" t="s">
        <v>811</v>
      </c>
      <c r="M10" s="8" t="s">
        <v>803</v>
      </c>
    </row>
    <row r="11" spans="1:13" x14ac:dyDescent="0.25">
      <c r="A11" s="10" t="s">
        <v>244</v>
      </c>
      <c r="B11" s="10" t="s">
        <v>867</v>
      </c>
      <c r="C11" s="10" t="s">
        <v>793</v>
      </c>
      <c r="D11" s="10" t="s">
        <v>794</v>
      </c>
      <c r="E11" s="10" t="s">
        <v>869</v>
      </c>
      <c r="F11" s="10" t="s">
        <v>838</v>
      </c>
      <c r="G11" s="11">
        <v>400</v>
      </c>
      <c r="H11" s="11">
        <v>170</v>
      </c>
      <c r="I11" s="11">
        <v>220</v>
      </c>
      <c r="J11" s="10" t="s">
        <v>800</v>
      </c>
      <c r="K11" s="10" t="s">
        <v>873</v>
      </c>
      <c r="L11" s="10" t="s">
        <v>811</v>
      </c>
      <c r="M11" s="10" t="s">
        <v>803</v>
      </c>
    </row>
    <row r="12" spans="1:13" x14ac:dyDescent="0.25">
      <c r="A12" s="8" t="s">
        <v>875</v>
      </c>
      <c r="B12" s="8" t="s">
        <v>876</v>
      </c>
      <c r="C12" s="8" t="s">
        <v>793</v>
      </c>
      <c r="D12" s="8" t="s">
        <v>824</v>
      </c>
      <c r="E12" s="8" t="s">
        <v>877</v>
      </c>
      <c r="F12" s="8" t="s">
        <v>878</v>
      </c>
      <c r="G12" s="9">
        <v>355</v>
      </c>
      <c r="H12" s="9">
        <v>170</v>
      </c>
      <c r="I12" s="9">
        <v>200</v>
      </c>
      <c r="J12" s="8" t="s">
        <v>809</v>
      </c>
      <c r="K12" s="8" t="s">
        <v>880</v>
      </c>
      <c r="L12" s="8" t="s">
        <v>850</v>
      </c>
      <c r="M12" s="8" t="s">
        <v>803</v>
      </c>
    </row>
    <row r="13" spans="1:13" x14ac:dyDescent="0.25">
      <c r="A13" s="10" t="s">
        <v>875</v>
      </c>
      <c r="B13" s="10" t="s">
        <v>882</v>
      </c>
      <c r="C13" s="10" t="s">
        <v>793</v>
      </c>
      <c r="D13" s="10" t="s">
        <v>824</v>
      </c>
      <c r="E13" s="10" t="s">
        <v>806</v>
      </c>
      <c r="F13" s="10" t="s">
        <v>797</v>
      </c>
      <c r="G13" s="11">
        <v>405</v>
      </c>
      <c r="H13" s="11">
        <v>170</v>
      </c>
      <c r="I13" s="11">
        <v>190</v>
      </c>
      <c r="J13" s="10" t="s">
        <v>809</v>
      </c>
      <c r="K13" s="10" t="s">
        <v>832</v>
      </c>
      <c r="L13" s="10" t="s">
        <v>884</v>
      </c>
      <c r="M13" s="10" t="s">
        <v>885</v>
      </c>
    </row>
    <row r="14" spans="1:13" x14ac:dyDescent="0.25">
      <c r="A14" s="8" t="s">
        <v>875</v>
      </c>
      <c r="B14" s="8" t="s">
        <v>886</v>
      </c>
      <c r="C14" s="8" t="s">
        <v>793</v>
      </c>
      <c r="D14" s="8" t="s">
        <v>824</v>
      </c>
      <c r="E14" s="8" t="s">
        <v>806</v>
      </c>
      <c r="F14" s="8" t="s">
        <v>797</v>
      </c>
      <c r="G14" s="9">
        <v>341</v>
      </c>
      <c r="H14" s="9">
        <v>169</v>
      </c>
      <c r="I14" s="9">
        <v>200</v>
      </c>
      <c r="J14" s="8" t="s">
        <v>809</v>
      </c>
      <c r="K14" s="8" t="s">
        <v>832</v>
      </c>
      <c r="L14" s="8" t="s">
        <v>850</v>
      </c>
      <c r="M14" s="8" t="s">
        <v>803</v>
      </c>
    </row>
    <row r="15" spans="1:13" x14ac:dyDescent="0.25">
      <c r="A15" s="10" t="s">
        <v>875</v>
      </c>
      <c r="B15" s="10" t="s">
        <v>888</v>
      </c>
      <c r="C15" s="10" t="s">
        <v>793</v>
      </c>
      <c r="D15" s="10" t="s">
        <v>794</v>
      </c>
      <c r="E15" s="10" t="s">
        <v>806</v>
      </c>
      <c r="F15" s="10" t="s">
        <v>797</v>
      </c>
      <c r="G15" s="11">
        <v>461</v>
      </c>
      <c r="H15" s="11">
        <v>188</v>
      </c>
      <c r="I15" s="11">
        <v>250</v>
      </c>
      <c r="J15" s="10" t="s">
        <v>889</v>
      </c>
      <c r="K15" s="10" t="s">
        <v>891</v>
      </c>
      <c r="L15" s="10" t="s">
        <v>811</v>
      </c>
      <c r="M15" s="10" t="s">
        <v>803</v>
      </c>
    </row>
    <row r="16" spans="1:13" x14ac:dyDescent="0.25">
      <c r="A16" s="8" t="s">
        <v>875</v>
      </c>
      <c r="B16" s="8" t="s">
        <v>893</v>
      </c>
      <c r="C16" s="8" t="s">
        <v>793</v>
      </c>
      <c r="D16" s="8" t="s">
        <v>794</v>
      </c>
      <c r="E16" s="8" t="s">
        <v>895</v>
      </c>
      <c r="F16" s="8" t="s">
        <v>896</v>
      </c>
      <c r="G16" s="9">
        <v>467</v>
      </c>
      <c r="H16" s="9">
        <v>185</v>
      </c>
      <c r="I16" s="9">
        <v>250</v>
      </c>
      <c r="J16" s="8" t="s">
        <v>898</v>
      </c>
      <c r="K16" s="8" t="s">
        <v>899</v>
      </c>
      <c r="L16" s="8" t="s">
        <v>900</v>
      </c>
      <c r="M16" s="8" t="s">
        <v>901</v>
      </c>
    </row>
    <row r="17" spans="1:13" x14ac:dyDescent="0.25">
      <c r="A17" s="10" t="s">
        <v>902</v>
      </c>
      <c r="B17" s="10" t="s">
        <v>904</v>
      </c>
      <c r="C17" s="10" t="s">
        <v>793</v>
      </c>
      <c r="D17" s="10" t="s">
        <v>794</v>
      </c>
      <c r="E17" s="10" t="s">
        <v>806</v>
      </c>
      <c r="F17" s="10" t="s">
        <v>797</v>
      </c>
      <c r="G17" s="11">
        <v>420</v>
      </c>
      <c r="H17" s="11">
        <v>160</v>
      </c>
      <c r="I17" s="11">
        <v>270</v>
      </c>
      <c r="J17" s="10" t="s">
        <v>809</v>
      </c>
      <c r="K17" s="10" t="s">
        <v>907</v>
      </c>
      <c r="L17" s="10" t="s">
        <v>908</v>
      </c>
      <c r="M17" s="10" t="s">
        <v>885</v>
      </c>
    </row>
    <row r="18" spans="1:13" x14ac:dyDescent="0.25">
      <c r="A18" s="8" t="s">
        <v>902</v>
      </c>
      <c r="B18" s="8" t="s">
        <v>909</v>
      </c>
      <c r="C18" s="8" t="s">
        <v>793</v>
      </c>
      <c r="D18" s="8" t="s">
        <v>794</v>
      </c>
      <c r="E18" s="8" t="s">
        <v>806</v>
      </c>
      <c r="F18" s="8" t="s">
        <v>797</v>
      </c>
      <c r="G18" s="9">
        <v>400</v>
      </c>
      <c r="H18" s="9">
        <v>162</v>
      </c>
      <c r="I18" s="9">
        <v>250</v>
      </c>
      <c r="J18" s="8" t="s">
        <v>848</v>
      </c>
      <c r="K18" s="8" t="s">
        <v>907</v>
      </c>
      <c r="L18" s="8" t="s">
        <v>850</v>
      </c>
      <c r="M18" s="8" t="s">
        <v>803</v>
      </c>
    </row>
    <row r="19" spans="1:13" x14ac:dyDescent="0.25">
      <c r="A19" s="10" t="s">
        <v>902</v>
      </c>
      <c r="B19" s="10" t="s">
        <v>912</v>
      </c>
      <c r="C19" s="10" t="s">
        <v>793</v>
      </c>
      <c r="D19" s="10" t="s">
        <v>794</v>
      </c>
      <c r="E19" s="10" t="s">
        <v>806</v>
      </c>
      <c r="F19" s="10" t="s">
        <v>797</v>
      </c>
      <c r="G19" s="11">
        <v>400</v>
      </c>
      <c r="H19" s="11">
        <v>175</v>
      </c>
      <c r="I19" s="11">
        <v>220</v>
      </c>
      <c r="J19" s="10" t="s">
        <v>831</v>
      </c>
      <c r="K19" s="10" t="s">
        <v>915</v>
      </c>
      <c r="L19" s="10" t="s">
        <v>850</v>
      </c>
      <c r="M19" s="10" t="s">
        <v>803</v>
      </c>
    </row>
    <row r="20" spans="1:13" x14ac:dyDescent="0.25">
      <c r="A20" s="8" t="s">
        <v>918</v>
      </c>
      <c r="B20" s="8" t="s">
        <v>919</v>
      </c>
      <c r="C20" s="8" t="s">
        <v>793</v>
      </c>
      <c r="D20" s="8" t="s">
        <v>824</v>
      </c>
      <c r="E20" s="8" t="s">
        <v>806</v>
      </c>
      <c r="F20" s="8" t="s">
        <v>797</v>
      </c>
      <c r="G20" s="9">
        <v>410</v>
      </c>
      <c r="H20" s="9">
        <v>165</v>
      </c>
      <c r="I20" s="9">
        <v>180</v>
      </c>
      <c r="J20" s="8" t="s">
        <v>809</v>
      </c>
      <c r="K20" s="8" t="s">
        <v>860</v>
      </c>
      <c r="L20" s="8" t="s">
        <v>850</v>
      </c>
      <c r="M20" s="8" t="s">
        <v>885</v>
      </c>
    </row>
    <row r="21" spans="1:13" ht="15.75" customHeight="1" x14ac:dyDescent="0.25">
      <c r="A21" s="10" t="s">
        <v>918</v>
      </c>
      <c r="B21" s="10" t="s">
        <v>924</v>
      </c>
      <c r="C21" s="10" t="s">
        <v>793</v>
      </c>
      <c r="D21" s="10" t="s">
        <v>794</v>
      </c>
      <c r="E21" s="10" t="s">
        <v>806</v>
      </c>
      <c r="F21" s="10" t="s">
        <v>797</v>
      </c>
      <c r="G21" s="11">
        <v>410</v>
      </c>
      <c r="H21" s="11">
        <v>165</v>
      </c>
      <c r="I21" s="11">
        <v>180</v>
      </c>
      <c r="J21" s="10" t="s">
        <v>809</v>
      </c>
      <c r="K21" s="10" t="s">
        <v>860</v>
      </c>
      <c r="L21" s="10" t="s">
        <v>850</v>
      </c>
      <c r="M21" s="10" t="s">
        <v>803</v>
      </c>
    </row>
    <row r="22" spans="1:13" ht="15.75" customHeight="1" x14ac:dyDescent="0.25">
      <c r="A22" s="8" t="s">
        <v>918</v>
      </c>
      <c r="B22" s="8" t="s">
        <v>930</v>
      </c>
      <c r="C22" s="8" t="s">
        <v>793</v>
      </c>
      <c r="D22" s="8" t="s">
        <v>794</v>
      </c>
      <c r="E22" s="8" t="s">
        <v>934</v>
      </c>
      <c r="F22" s="8" t="s">
        <v>797</v>
      </c>
      <c r="G22" s="9">
        <v>490</v>
      </c>
      <c r="H22" s="9">
        <v>190</v>
      </c>
      <c r="I22" s="9">
        <v>220</v>
      </c>
      <c r="J22" s="8" t="s">
        <v>939</v>
      </c>
      <c r="K22" s="8" t="s">
        <v>801</v>
      </c>
      <c r="L22" s="8" t="s">
        <v>850</v>
      </c>
      <c r="M22" s="8" t="s">
        <v>803</v>
      </c>
    </row>
    <row r="23" spans="1:13" ht="15.75" customHeight="1" x14ac:dyDescent="0.25">
      <c r="A23" s="10" t="s">
        <v>940</v>
      </c>
      <c r="B23" s="10" t="s">
        <v>942</v>
      </c>
      <c r="C23" s="10" t="s">
        <v>793</v>
      </c>
      <c r="D23" s="10" t="s">
        <v>824</v>
      </c>
      <c r="E23" s="10" t="s">
        <v>806</v>
      </c>
      <c r="F23" s="10" t="s">
        <v>797</v>
      </c>
      <c r="G23" s="11">
        <v>369</v>
      </c>
      <c r="H23" s="11">
        <v>190</v>
      </c>
      <c r="I23" s="11">
        <v>258</v>
      </c>
      <c r="J23" s="10" t="s">
        <v>809</v>
      </c>
      <c r="K23" s="10" t="s">
        <v>899</v>
      </c>
      <c r="L23" s="10" t="s">
        <v>946</v>
      </c>
      <c r="M23" s="10" t="s">
        <v>803</v>
      </c>
    </row>
    <row r="24" spans="1:13" ht="15.75" customHeight="1" x14ac:dyDescent="0.25">
      <c r="A24" s="8" t="s">
        <v>940</v>
      </c>
      <c r="B24" s="8" t="s">
        <v>949</v>
      </c>
      <c r="C24" s="8" t="s">
        <v>793</v>
      </c>
      <c r="D24" s="8" t="s">
        <v>794</v>
      </c>
      <c r="E24" s="8" t="s">
        <v>952</v>
      </c>
      <c r="F24" s="8" t="s">
        <v>896</v>
      </c>
      <c r="G24" s="9">
        <v>432</v>
      </c>
      <c r="H24" s="9">
        <v>185</v>
      </c>
      <c r="I24" s="9">
        <v>288</v>
      </c>
      <c r="J24" s="8" t="s">
        <v>954</v>
      </c>
      <c r="K24" s="8" t="s">
        <v>899</v>
      </c>
      <c r="L24" s="8" t="s">
        <v>956</v>
      </c>
      <c r="M24" s="8" t="s">
        <v>958</v>
      </c>
    </row>
    <row r="25" spans="1:13" ht="15.75" customHeight="1" x14ac:dyDescent="0.25">
      <c r="A25" s="10" t="s">
        <v>940</v>
      </c>
      <c r="B25" s="10" t="s">
        <v>960</v>
      </c>
      <c r="C25" s="10" t="s">
        <v>793</v>
      </c>
      <c r="D25" s="10" t="s">
        <v>794</v>
      </c>
      <c r="E25" s="10" t="s">
        <v>806</v>
      </c>
      <c r="F25" s="10" t="s">
        <v>797</v>
      </c>
      <c r="G25" s="11">
        <v>430</v>
      </c>
      <c r="H25" s="11">
        <v>180</v>
      </c>
      <c r="I25" s="11">
        <v>290</v>
      </c>
      <c r="J25" s="10" t="s">
        <v>816</v>
      </c>
      <c r="K25" s="10" t="s">
        <v>963</v>
      </c>
      <c r="L25" s="10" t="s">
        <v>964</v>
      </c>
      <c r="M25" s="10" t="s">
        <v>803</v>
      </c>
    </row>
    <row r="26" spans="1:13" ht="15.75" customHeight="1" x14ac:dyDescent="0.25">
      <c r="A26" s="8" t="s">
        <v>965</v>
      </c>
      <c r="B26" s="8" t="s">
        <v>966</v>
      </c>
      <c r="C26" s="8" t="s">
        <v>793</v>
      </c>
      <c r="D26" s="8" t="s">
        <v>794</v>
      </c>
      <c r="E26" s="8" t="s">
        <v>806</v>
      </c>
      <c r="F26" s="8" t="s">
        <v>797</v>
      </c>
      <c r="G26" s="9">
        <v>400</v>
      </c>
      <c r="H26" s="9">
        <v>175</v>
      </c>
      <c r="I26" s="9">
        <v>220</v>
      </c>
      <c r="J26" s="8" t="s">
        <v>831</v>
      </c>
      <c r="K26" s="8" t="s">
        <v>971</v>
      </c>
      <c r="L26" s="8" t="s">
        <v>850</v>
      </c>
      <c r="M26" s="8" t="s">
        <v>803</v>
      </c>
    </row>
    <row r="27" spans="1:13" ht="15.75" customHeight="1" x14ac:dyDescent="0.25">
      <c r="A27" s="10" t="s">
        <v>965</v>
      </c>
      <c r="B27" s="10" t="s">
        <v>972</v>
      </c>
      <c r="C27" s="10" t="s">
        <v>793</v>
      </c>
      <c r="D27" s="10" t="s">
        <v>794</v>
      </c>
      <c r="E27" s="10" t="s">
        <v>837</v>
      </c>
      <c r="F27" s="10" t="s">
        <v>838</v>
      </c>
      <c r="G27" s="11">
        <v>400</v>
      </c>
      <c r="H27" s="11">
        <v>163</v>
      </c>
      <c r="I27" s="11">
        <v>220</v>
      </c>
      <c r="J27" s="10" t="s">
        <v>859</v>
      </c>
      <c r="K27" s="10" t="s">
        <v>975</v>
      </c>
      <c r="L27" s="10" t="s">
        <v>850</v>
      </c>
      <c r="M27" s="10" t="s">
        <v>803</v>
      </c>
    </row>
    <row r="28" spans="1:13" ht="15.75" customHeight="1" x14ac:dyDescent="0.25">
      <c r="A28" s="8" t="s">
        <v>965</v>
      </c>
      <c r="B28" s="8" t="s">
        <v>977</v>
      </c>
      <c r="C28" s="8" t="s">
        <v>793</v>
      </c>
      <c r="D28" s="8" t="s">
        <v>794</v>
      </c>
      <c r="E28" s="8" t="s">
        <v>806</v>
      </c>
      <c r="F28" s="8" t="s">
        <v>797</v>
      </c>
      <c r="G28" s="9">
        <v>400</v>
      </c>
      <c r="H28" s="9">
        <v>175</v>
      </c>
      <c r="I28" s="9">
        <v>220</v>
      </c>
      <c r="J28" s="8" t="s">
        <v>831</v>
      </c>
      <c r="K28" s="8" t="s">
        <v>985</v>
      </c>
      <c r="L28" s="8" t="s">
        <v>850</v>
      </c>
      <c r="M28" s="8" t="s">
        <v>803</v>
      </c>
    </row>
    <row r="29" spans="1:13" ht="15.75" customHeight="1" x14ac:dyDescent="0.25">
      <c r="A29" s="10" t="s">
        <v>979</v>
      </c>
      <c r="B29" s="10" t="s">
        <v>986</v>
      </c>
      <c r="C29" s="10" t="s">
        <v>793</v>
      </c>
      <c r="D29" s="10" t="s">
        <v>794</v>
      </c>
      <c r="E29" s="10" t="s">
        <v>806</v>
      </c>
      <c r="F29" s="10" t="s">
        <v>797</v>
      </c>
      <c r="G29" s="11">
        <v>380</v>
      </c>
      <c r="H29" s="11">
        <v>175</v>
      </c>
      <c r="I29" s="11">
        <v>160</v>
      </c>
      <c r="J29" s="10" t="s">
        <v>809</v>
      </c>
      <c r="K29" s="10" t="s">
        <v>992</v>
      </c>
      <c r="L29" s="10" t="s">
        <v>811</v>
      </c>
      <c r="M29" s="10" t="s">
        <v>803</v>
      </c>
    </row>
    <row r="30" spans="1:13" ht="15.75" customHeight="1" x14ac:dyDescent="0.25">
      <c r="A30" s="8" t="s">
        <v>979</v>
      </c>
      <c r="B30" s="8" t="s">
        <v>997</v>
      </c>
      <c r="C30" s="8" t="s">
        <v>793</v>
      </c>
      <c r="D30" s="8" t="s">
        <v>794</v>
      </c>
      <c r="E30" s="8" t="s">
        <v>806</v>
      </c>
      <c r="F30" s="8" t="s">
        <v>797</v>
      </c>
      <c r="G30" s="9">
        <v>380</v>
      </c>
      <c r="H30" s="9">
        <v>175</v>
      </c>
      <c r="I30" s="9">
        <v>160</v>
      </c>
      <c r="J30" s="8" t="s">
        <v>831</v>
      </c>
      <c r="K30" s="8" t="s">
        <v>1001</v>
      </c>
      <c r="L30" s="8" t="s">
        <v>811</v>
      </c>
      <c r="M30" s="8" t="s">
        <v>803</v>
      </c>
    </row>
    <row r="31" spans="1:13" ht="15.75" customHeight="1" x14ac:dyDescent="0.25">
      <c r="A31" s="10" t="s">
        <v>979</v>
      </c>
      <c r="B31" s="10" t="s">
        <v>1010</v>
      </c>
      <c r="C31" s="10" t="s">
        <v>793</v>
      </c>
      <c r="D31" s="10" t="s">
        <v>794</v>
      </c>
      <c r="E31" s="10" t="s">
        <v>837</v>
      </c>
      <c r="F31" s="10" t="s">
        <v>838</v>
      </c>
      <c r="G31" s="11">
        <v>400</v>
      </c>
      <c r="H31" s="11">
        <v>175</v>
      </c>
      <c r="I31" s="11">
        <v>220</v>
      </c>
      <c r="J31" s="10" t="s">
        <v>859</v>
      </c>
      <c r="K31" s="10" t="s">
        <v>1013</v>
      </c>
      <c r="L31" s="10" t="s">
        <v>850</v>
      </c>
      <c r="M31" s="10" t="s">
        <v>803</v>
      </c>
    </row>
    <row r="32" spans="1:13" ht="15.75" customHeight="1" x14ac:dyDescent="0.25">
      <c r="A32" s="8" t="s">
        <v>1015</v>
      </c>
      <c r="B32" s="8" t="s">
        <v>1016</v>
      </c>
      <c r="C32" s="8" t="s">
        <v>793</v>
      </c>
      <c r="D32" s="8" t="s">
        <v>1018</v>
      </c>
      <c r="E32" s="8" t="s">
        <v>1019</v>
      </c>
      <c r="F32" s="8" t="s">
        <v>797</v>
      </c>
      <c r="G32" s="9">
        <v>350</v>
      </c>
      <c r="H32" s="9">
        <v>155</v>
      </c>
      <c r="I32" s="9">
        <v>170</v>
      </c>
      <c r="J32" s="8" t="s">
        <v>1021</v>
      </c>
      <c r="K32" s="8" t="s">
        <v>992</v>
      </c>
      <c r="L32" s="8" t="s">
        <v>850</v>
      </c>
      <c r="M32" s="8" t="s">
        <v>885</v>
      </c>
    </row>
    <row r="33" spans="1:13" ht="15.75" customHeight="1" x14ac:dyDescent="0.25">
      <c r="A33" s="10" t="s">
        <v>1015</v>
      </c>
      <c r="B33" s="10" t="s">
        <v>1024</v>
      </c>
      <c r="C33" s="10" t="s">
        <v>793</v>
      </c>
      <c r="D33" s="10" t="s">
        <v>794</v>
      </c>
      <c r="E33" s="10" t="s">
        <v>869</v>
      </c>
      <c r="F33" s="10" t="s">
        <v>838</v>
      </c>
      <c r="G33" s="11">
        <v>400</v>
      </c>
      <c r="H33" s="11">
        <v>170</v>
      </c>
      <c r="I33" s="11">
        <v>220</v>
      </c>
      <c r="J33" s="10" t="s">
        <v>859</v>
      </c>
      <c r="K33" s="10" t="s">
        <v>860</v>
      </c>
      <c r="L33" s="10" t="s">
        <v>850</v>
      </c>
      <c r="M33" s="10" t="s">
        <v>803</v>
      </c>
    </row>
    <row r="34" spans="1:13" ht="15.75" customHeight="1" x14ac:dyDescent="0.25">
      <c r="A34" s="8" t="s">
        <v>1015</v>
      </c>
      <c r="B34" s="8" t="s">
        <v>1030</v>
      </c>
      <c r="C34" s="8" t="s">
        <v>793</v>
      </c>
      <c r="D34" s="8" t="s">
        <v>794</v>
      </c>
      <c r="E34" s="8" t="s">
        <v>806</v>
      </c>
      <c r="F34" s="8" t="s">
        <v>797</v>
      </c>
      <c r="G34" s="9">
        <v>400</v>
      </c>
      <c r="H34" s="9">
        <v>180</v>
      </c>
      <c r="I34" s="9">
        <v>220</v>
      </c>
      <c r="J34" s="8" t="s">
        <v>831</v>
      </c>
      <c r="K34" s="8" t="s">
        <v>963</v>
      </c>
      <c r="L34" s="8" t="s">
        <v>850</v>
      </c>
      <c r="M34" s="8" t="s">
        <v>803</v>
      </c>
    </row>
    <row r="35" spans="1:13" ht="15.75" customHeight="1" x14ac:dyDescent="0.25">
      <c r="A35" s="10" t="s">
        <v>72</v>
      </c>
      <c r="B35" s="10" t="s">
        <v>1035</v>
      </c>
      <c r="C35" s="10" t="s">
        <v>793</v>
      </c>
      <c r="D35" s="10" t="s">
        <v>794</v>
      </c>
      <c r="E35" s="10" t="s">
        <v>806</v>
      </c>
      <c r="F35" s="10" t="s">
        <v>797</v>
      </c>
      <c r="G35" s="11">
        <v>400</v>
      </c>
      <c r="H35" s="11">
        <v>168</v>
      </c>
      <c r="I35" s="11">
        <v>220</v>
      </c>
      <c r="J35" s="10" t="s">
        <v>859</v>
      </c>
      <c r="K35" s="10" t="s">
        <v>985</v>
      </c>
      <c r="L35" s="10" t="s">
        <v>850</v>
      </c>
      <c r="M35" s="10" t="s">
        <v>803</v>
      </c>
    </row>
    <row r="36" spans="1:13" ht="15.75" customHeight="1" x14ac:dyDescent="0.25">
      <c r="A36" s="8" t="s">
        <v>72</v>
      </c>
      <c r="B36" s="8" t="s">
        <v>1043</v>
      </c>
      <c r="C36" s="8" t="s">
        <v>1045</v>
      </c>
      <c r="D36" s="8" t="s">
        <v>824</v>
      </c>
      <c r="E36" s="8" t="s">
        <v>806</v>
      </c>
      <c r="F36" s="8" t="s">
        <v>1048</v>
      </c>
      <c r="G36" s="9">
        <v>338</v>
      </c>
      <c r="H36" s="9">
        <v>170</v>
      </c>
      <c r="I36" s="9">
        <v>180</v>
      </c>
      <c r="J36" s="8" t="s">
        <v>1049</v>
      </c>
      <c r="K36" s="8" t="s">
        <v>801</v>
      </c>
      <c r="L36" s="8" t="s">
        <v>827</v>
      </c>
      <c r="M36" s="8" t="s">
        <v>803</v>
      </c>
    </row>
    <row r="37" spans="1:13" ht="15.75" customHeight="1" x14ac:dyDescent="0.25">
      <c r="A37" s="10" t="s">
        <v>123</v>
      </c>
      <c r="B37" s="10" t="s">
        <v>1051</v>
      </c>
      <c r="C37" s="10" t="s">
        <v>793</v>
      </c>
      <c r="D37" s="10" t="s">
        <v>824</v>
      </c>
      <c r="E37" s="10" t="s">
        <v>806</v>
      </c>
      <c r="F37" s="10" t="s">
        <v>797</v>
      </c>
      <c r="G37" s="11">
        <v>400</v>
      </c>
      <c r="H37" s="11">
        <v>175</v>
      </c>
      <c r="I37" s="11">
        <v>200</v>
      </c>
      <c r="J37" s="10" t="s">
        <v>809</v>
      </c>
      <c r="K37" s="10" t="s">
        <v>1013</v>
      </c>
      <c r="L37" s="10" t="s">
        <v>850</v>
      </c>
      <c r="M37" s="10" t="s">
        <v>885</v>
      </c>
    </row>
    <row r="38" spans="1:13" ht="15.75" customHeight="1" x14ac:dyDescent="0.25">
      <c r="A38" s="8" t="s">
        <v>123</v>
      </c>
      <c r="B38" s="8" t="s">
        <v>1058</v>
      </c>
      <c r="C38" s="8" t="s">
        <v>793</v>
      </c>
      <c r="D38" s="8" t="s">
        <v>794</v>
      </c>
      <c r="E38" s="8" t="s">
        <v>806</v>
      </c>
      <c r="F38" s="8" t="s">
        <v>797</v>
      </c>
      <c r="G38" s="9">
        <v>400</v>
      </c>
      <c r="H38" s="9">
        <v>175</v>
      </c>
      <c r="I38" s="9">
        <v>220</v>
      </c>
      <c r="J38" s="8" t="s">
        <v>831</v>
      </c>
      <c r="K38" s="8" t="s">
        <v>1013</v>
      </c>
      <c r="L38" s="8" t="s">
        <v>850</v>
      </c>
      <c r="M38" s="8" t="s">
        <v>803</v>
      </c>
    </row>
    <row r="39" spans="1:13" ht="15.75" customHeight="1" x14ac:dyDescent="0.25">
      <c r="A39" s="10" t="s">
        <v>1064</v>
      </c>
      <c r="B39" s="10" t="s">
        <v>1066</v>
      </c>
      <c r="C39" s="10" t="s">
        <v>793</v>
      </c>
      <c r="D39" s="10" t="s">
        <v>794</v>
      </c>
      <c r="E39" s="10" t="s">
        <v>806</v>
      </c>
      <c r="F39" s="10" t="s">
        <v>797</v>
      </c>
      <c r="G39" s="11">
        <v>405</v>
      </c>
      <c r="H39" s="11">
        <v>175</v>
      </c>
      <c r="I39" s="11">
        <v>220</v>
      </c>
      <c r="J39" s="10" t="s">
        <v>831</v>
      </c>
      <c r="K39" s="10" t="s">
        <v>832</v>
      </c>
      <c r="L39" s="10" t="s">
        <v>850</v>
      </c>
      <c r="M39" s="10" t="s">
        <v>803</v>
      </c>
    </row>
    <row r="40" spans="1:13" ht="15.75" customHeight="1" x14ac:dyDescent="0.25">
      <c r="A40" s="8" t="s">
        <v>1064</v>
      </c>
      <c r="B40" s="8" t="s">
        <v>1082</v>
      </c>
      <c r="C40" s="8" t="s">
        <v>793</v>
      </c>
      <c r="D40" s="8" t="s">
        <v>824</v>
      </c>
      <c r="E40" s="8" t="s">
        <v>806</v>
      </c>
      <c r="F40" s="8" t="s">
        <v>797</v>
      </c>
      <c r="G40" s="9">
        <v>405</v>
      </c>
      <c r="H40" s="9">
        <v>175</v>
      </c>
      <c r="I40" s="9">
        <v>205</v>
      </c>
      <c r="J40" s="8" t="s">
        <v>809</v>
      </c>
      <c r="K40" s="8" t="s">
        <v>1088</v>
      </c>
      <c r="L40" s="8" t="s">
        <v>850</v>
      </c>
      <c r="M40" s="8" t="s">
        <v>885</v>
      </c>
    </row>
    <row r="41" spans="1:13" ht="15.75" customHeight="1" x14ac:dyDescent="0.25">
      <c r="A41" s="10" t="s">
        <v>1091</v>
      </c>
      <c r="B41" s="10" t="s">
        <v>1092</v>
      </c>
      <c r="C41" s="10" t="s">
        <v>793</v>
      </c>
      <c r="D41" s="10" t="s">
        <v>794</v>
      </c>
      <c r="E41" s="10" t="s">
        <v>869</v>
      </c>
      <c r="F41" s="10" t="s">
        <v>1095</v>
      </c>
      <c r="G41" s="11">
        <v>375</v>
      </c>
      <c r="H41" s="11">
        <v>162</v>
      </c>
      <c r="I41" s="11">
        <v>210</v>
      </c>
      <c r="J41" s="10" t="s">
        <v>1099</v>
      </c>
      <c r="K41" s="10" t="s">
        <v>832</v>
      </c>
      <c r="L41" s="10" t="s">
        <v>850</v>
      </c>
      <c r="M41" s="10" t="s">
        <v>1104</v>
      </c>
    </row>
    <row r="42" spans="1:13" ht="15.75" customHeight="1" x14ac:dyDescent="0.25">
      <c r="A42" s="8" t="s">
        <v>1091</v>
      </c>
      <c r="B42" s="8" t="s">
        <v>1105</v>
      </c>
      <c r="C42" s="8" t="s">
        <v>793</v>
      </c>
      <c r="D42" s="8" t="s">
        <v>794</v>
      </c>
      <c r="E42" s="8" t="s">
        <v>869</v>
      </c>
      <c r="F42" s="8" t="s">
        <v>1095</v>
      </c>
      <c r="G42" s="9">
        <v>422</v>
      </c>
      <c r="H42" s="9">
        <v>164</v>
      </c>
      <c r="I42" s="9">
        <v>220</v>
      </c>
      <c r="J42" s="8" t="s">
        <v>1110</v>
      </c>
      <c r="K42" s="8" t="s">
        <v>832</v>
      </c>
      <c r="L42" s="8" t="s">
        <v>850</v>
      </c>
      <c r="M42" s="8" t="s">
        <v>1104</v>
      </c>
    </row>
    <row r="43" spans="1:13" ht="15.75" customHeight="1" x14ac:dyDescent="0.25">
      <c r="A43" s="10" t="s">
        <v>1114</v>
      </c>
      <c r="B43" s="10" t="s">
        <v>1115</v>
      </c>
      <c r="C43" s="10" t="s">
        <v>793</v>
      </c>
      <c r="D43" s="10" t="s">
        <v>794</v>
      </c>
      <c r="E43" s="10" t="s">
        <v>1019</v>
      </c>
      <c r="F43" s="10" t="s">
        <v>797</v>
      </c>
      <c r="G43" s="11">
        <v>400</v>
      </c>
      <c r="H43" s="11">
        <v>167</v>
      </c>
      <c r="I43" s="11">
        <v>200</v>
      </c>
      <c r="J43" s="10" t="s">
        <v>809</v>
      </c>
      <c r="K43" s="10" t="s">
        <v>1120</v>
      </c>
      <c r="L43" s="10" t="s">
        <v>850</v>
      </c>
      <c r="M43" s="10" t="s">
        <v>803</v>
      </c>
    </row>
    <row r="44" spans="1:13" ht="15.75" customHeight="1" x14ac:dyDescent="0.25">
      <c r="A44" s="8" t="s">
        <v>1127</v>
      </c>
      <c r="B44" s="8" t="s">
        <v>1129</v>
      </c>
      <c r="C44" s="8" t="s">
        <v>793</v>
      </c>
      <c r="D44" s="8" t="s">
        <v>824</v>
      </c>
      <c r="E44" s="8" t="s">
        <v>806</v>
      </c>
      <c r="F44" s="8" t="s">
        <v>797</v>
      </c>
      <c r="G44" s="9">
        <v>340</v>
      </c>
      <c r="H44" s="9">
        <v>160</v>
      </c>
      <c r="I44" s="9">
        <v>175</v>
      </c>
      <c r="J44" s="8" t="s">
        <v>1021</v>
      </c>
      <c r="K44" s="8" t="s">
        <v>1134</v>
      </c>
      <c r="L44" s="8" t="s">
        <v>850</v>
      </c>
      <c r="M44" s="8" t="s">
        <v>885</v>
      </c>
    </row>
    <row r="45" spans="1:13" ht="15.75" customHeight="1" x14ac:dyDescent="0.25">
      <c r="A45" s="10" t="s">
        <v>1137</v>
      </c>
      <c r="B45" s="10" t="s">
        <v>1138</v>
      </c>
      <c r="C45" s="10" t="s">
        <v>793</v>
      </c>
      <c r="D45" s="10" t="s">
        <v>824</v>
      </c>
      <c r="E45" s="10" t="s">
        <v>806</v>
      </c>
      <c r="F45" s="10" t="s">
        <v>797</v>
      </c>
      <c r="G45" s="11">
        <v>340</v>
      </c>
      <c r="H45" s="11">
        <v>160</v>
      </c>
      <c r="I45" s="11">
        <v>180</v>
      </c>
      <c r="J45" s="10" t="s">
        <v>1021</v>
      </c>
      <c r="K45" s="10" t="s">
        <v>860</v>
      </c>
      <c r="L45" s="10" t="s">
        <v>850</v>
      </c>
      <c r="M45" s="10" t="s">
        <v>885</v>
      </c>
    </row>
    <row r="46" spans="1:13" ht="15.75" customHeight="1" x14ac:dyDescent="0.25">
      <c r="A46" s="8" t="s">
        <v>1146</v>
      </c>
      <c r="B46" s="8" t="s">
        <v>1147</v>
      </c>
      <c r="C46" s="8" t="s">
        <v>793</v>
      </c>
      <c r="D46" s="8" t="s">
        <v>824</v>
      </c>
      <c r="E46" s="8" t="s">
        <v>1149</v>
      </c>
      <c r="F46" s="8" t="s">
        <v>797</v>
      </c>
      <c r="G46" s="9">
        <v>340</v>
      </c>
      <c r="H46" s="9">
        <v>160</v>
      </c>
      <c r="I46" s="9">
        <v>180</v>
      </c>
      <c r="J46" s="8" t="s">
        <v>1021</v>
      </c>
      <c r="K46" s="8" t="s">
        <v>1134</v>
      </c>
      <c r="L46" s="8" t="s">
        <v>850</v>
      </c>
      <c r="M46" s="8" t="s">
        <v>885</v>
      </c>
    </row>
    <row r="47" spans="1:13" ht="15.75" customHeight="1" x14ac:dyDescent="0.25">
      <c r="A47" s="10" t="s">
        <v>789</v>
      </c>
      <c r="B47" s="10" t="s">
        <v>1150</v>
      </c>
      <c r="C47" s="10" t="s">
        <v>1152</v>
      </c>
      <c r="D47" s="10" t="s">
        <v>794</v>
      </c>
      <c r="E47" s="10" t="s">
        <v>796</v>
      </c>
      <c r="F47" s="10" t="s">
        <v>838</v>
      </c>
      <c r="G47" s="11">
        <v>461</v>
      </c>
      <c r="H47" s="11">
        <v>167</v>
      </c>
      <c r="I47" s="11">
        <v>220</v>
      </c>
      <c r="J47" s="10" t="s">
        <v>1157</v>
      </c>
      <c r="K47" s="10" t="s">
        <v>801</v>
      </c>
      <c r="L47" s="10" t="s">
        <v>802</v>
      </c>
      <c r="M47" s="10" t="s">
        <v>1159</v>
      </c>
    </row>
    <row r="48" spans="1:13" ht="15.75" customHeight="1" x14ac:dyDescent="0.25">
      <c r="A48" s="8" t="s">
        <v>789</v>
      </c>
      <c r="B48" s="8" t="s">
        <v>1160</v>
      </c>
      <c r="C48" s="8" t="s">
        <v>1162</v>
      </c>
      <c r="D48" s="8" t="s">
        <v>1163</v>
      </c>
      <c r="E48" s="8" t="s">
        <v>1164</v>
      </c>
      <c r="F48" s="8" t="s">
        <v>797</v>
      </c>
      <c r="G48" s="9">
        <v>500</v>
      </c>
      <c r="H48" s="9">
        <v>190</v>
      </c>
      <c r="I48" s="9">
        <v>260</v>
      </c>
      <c r="J48" s="8" t="s">
        <v>1167</v>
      </c>
      <c r="K48" s="8" t="s">
        <v>801</v>
      </c>
      <c r="L48" s="8" t="s">
        <v>1168</v>
      </c>
      <c r="M48" s="8" t="s">
        <v>1169</v>
      </c>
    </row>
    <row r="49" spans="1:13" ht="15.75" customHeight="1" x14ac:dyDescent="0.25">
      <c r="A49" s="10" t="s">
        <v>244</v>
      </c>
      <c r="B49" s="10" t="s">
        <v>1171</v>
      </c>
      <c r="C49" s="10" t="s">
        <v>1152</v>
      </c>
      <c r="D49" s="10" t="s">
        <v>794</v>
      </c>
      <c r="E49" s="10" t="s">
        <v>806</v>
      </c>
      <c r="F49" s="10" t="s">
        <v>797</v>
      </c>
      <c r="G49" s="11">
        <v>450</v>
      </c>
      <c r="H49" s="11">
        <v>190</v>
      </c>
      <c r="I49" s="11">
        <v>225</v>
      </c>
      <c r="J49" s="10" t="s">
        <v>1177</v>
      </c>
      <c r="K49" s="10" t="s">
        <v>899</v>
      </c>
      <c r="L49" s="10" t="s">
        <v>1178</v>
      </c>
      <c r="M49" s="10" t="s">
        <v>1159</v>
      </c>
    </row>
    <row r="50" spans="1:13" ht="15.75" customHeight="1" x14ac:dyDescent="0.25">
      <c r="A50" s="8" t="s">
        <v>244</v>
      </c>
      <c r="B50" s="8" t="s">
        <v>1180</v>
      </c>
      <c r="C50" s="8" t="s">
        <v>1162</v>
      </c>
      <c r="D50" s="8" t="s">
        <v>1183</v>
      </c>
      <c r="E50" s="8" t="s">
        <v>837</v>
      </c>
      <c r="F50" s="8" t="s">
        <v>838</v>
      </c>
      <c r="G50" s="9">
        <v>400</v>
      </c>
      <c r="H50" s="9">
        <v>180</v>
      </c>
      <c r="I50" s="9">
        <v>225</v>
      </c>
      <c r="J50" s="8" t="s">
        <v>1186</v>
      </c>
      <c r="K50" s="8" t="s">
        <v>801</v>
      </c>
      <c r="L50" s="8" t="s">
        <v>1188</v>
      </c>
      <c r="M50" s="8" t="s">
        <v>1169</v>
      </c>
    </row>
    <row r="51" spans="1:13" ht="15.75" customHeight="1" x14ac:dyDescent="0.25">
      <c r="A51" s="10" t="s">
        <v>875</v>
      </c>
      <c r="B51" s="10" t="s">
        <v>1189</v>
      </c>
      <c r="C51" s="10" t="s">
        <v>1152</v>
      </c>
      <c r="D51" s="10" t="s">
        <v>1163</v>
      </c>
      <c r="E51" s="10" t="s">
        <v>895</v>
      </c>
      <c r="F51" s="10" t="s">
        <v>896</v>
      </c>
      <c r="G51" s="11">
        <v>491</v>
      </c>
      <c r="H51" s="11">
        <v>185</v>
      </c>
      <c r="I51" s="11">
        <v>300</v>
      </c>
      <c r="J51" s="10" t="s">
        <v>1195</v>
      </c>
      <c r="K51" s="10" t="s">
        <v>1196</v>
      </c>
      <c r="L51" s="10" t="s">
        <v>1197</v>
      </c>
      <c r="M51" s="10" t="s">
        <v>901</v>
      </c>
    </row>
    <row r="52" spans="1:13" ht="15.75" customHeight="1" x14ac:dyDescent="0.25">
      <c r="A52" s="8" t="s">
        <v>875</v>
      </c>
      <c r="B52" s="8" t="s">
        <v>1199</v>
      </c>
      <c r="C52" s="8" t="s">
        <v>1152</v>
      </c>
      <c r="D52" s="8" t="s">
        <v>1163</v>
      </c>
      <c r="E52" s="8" t="s">
        <v>806</v>
      </c>
      <c r="F52" s="8" t="s">
        <v>797</v>
      </c>
      <c r="G52" s="9">
        <v>480</v>
      </c>
      <c r="H52" s="9">
        <v>185</v>
      </c>
      <c r="I52" s="9">
        <v>300</v>
      </c>
      <c r="J52" s="8" t="s">
        <v>1195</v>
      </c>
      <c r="K52" s="8" t="s">
        <v>1196</v>
      </c>
      <c r="L52" s="8" t="s">
        <v>1197</v>
      </c>
      <c r="M52" s="8" t="s">
        <v>901</v>
      </c>
    </row>
    <row r="53" spans="1:13" ht="15.75" customHeight="1" x14ac:dyDescent="0.25">
      <c r="A53" s="10" t="s">
        <v>875</v>
      </c>
      <c r="B53" s="10" t="s">
        <v>1204</v>
      </c>
      <c r="C53" s="10" t="s">
        <v>1152</v>
      </c>
      <c r="D53" s="10" t="s">
        <v>1163</v>
      </c>
      <c r="E53" s="10" t="s">
        <v>806</v>
      </c>
      <c r="F53" s="10" t="s">
        <v>797</v>
      </c>
      <c r="G53" s="11">
        <v>461</v>
      </c>
      <c r="H53" s="11">
        <v>188</v>
      </c>
      <c r="I53" s="11">
        <v>250</v>
      </c>
      <c r="J53" s="10" t="s">
        <v>889</v>
      </c>
      <c r="K53" s="10" t="s">
        <v>1208</v>
      </c>
      <c r="L53" s="10" t="s">
        <v>811</v>
      </c>
      <c r="M53" s="10" t="s">
        <v>803</v>
      </c>
    </row>
    <row r="54" spans="1:13" ht="15.75" customHeight="1" x14ac:dyDescent="0.25">
      <c r="A54" s="8" t="s">
        <v>902</v>
      </c>
      <c r="B54" s="8" t="s">
        <v>1211</v>
      </c>
      <c r="C54" s="8" t="s">
        <v>1152</v>
      </c>
      <c r="D54" s="8" t="s">
        <v>1163</v>
      </c>
      <c r="E54" s="8" t="s">
        <v>806</v>
      </c>
      <c r="F54" s="8" t="s">
        <v>797</v>
      </c>
      <c r="G54" s="9">
        <v>503</v>
      </c>
      <c r="H54" s="9">
        <v>195</v>
      </c>
      <c r="I54" s="9">
        <v>250</v>
      </c>
      <c r="J54" s="8" t="s">
        <v>1195</v>
      </c>
      <c r="K54" s="8" t="s">
        <v>880</v>
      </c>
      <c r="L54" s="8" t="s">
        <v>1220</v>
      </c>
      <c r="M54" s="8" t="s">
        <v>1159</v>
      </c>
    </row>
    <row r="55" spans="1:13" ht="15.75" customHeight="1" x14ac:dyDescent="0.25">
      <c r="A55" s="10" t="s">
        <v>902</v>
      </c>
      <c r="B55" s="10" t="s">
        <v>1222</v>
      </c>
      <c r="C55" s="10" t="s">
        <v>1152</v>
      </c>
      <c r="D55" s="10" t="s">
        <v>1163</v>
      </c>
      <c r="E55" s="10" t="s">
        <v>837</v>
      </c>
      <c r="F55" s="10" t="s">
        <v>838</v>
      </c>
      <c r="G55" s="11">
        <v>480</v>
      </c>
      <c r="H55" s="11">
        <v>190</v>
      </c>
      <c r="I55" s="11">
        <v>250</v>
      </c>
      <c r="J55" s="10" t="s">
        <v>1157</v>
      </c>
      <c r="K55" s="10" t="s">
        <v>1225</v>
      </c>
      <c r="L55" s="10" t="s">
        <v>818</v>
      </c>
      <c r="M55" s="10" t="s">
        <v>1159</v>
      </c>
    </row>
    <row r="56" spans="1:13" ht="15.75" customHeight="1" x14ac:dyDescent="0.25">
      <c r="A56" s="8" t="s">
        <v>918</v>
      </c>
      <c r="B56" s="8" t="s">
        <v>1228</v>
      </c>
      <c r="C56" s="8" t="s">
        <v>1152</v>
      </c>
      <c r="D56" s="8" t="s">
        <v>1163</v>
      </c>
      <c r="E56" s="8" t="s">
        <v>1229</v>
      </c>
      <c r="F56" s="8" t="s">
        <v>797</v>
      </c>
      <c r="G56" s="9">
        <v>490</v>
      </c>
      <c r="H56" s="9">
        <v>166</v>
      </c>
      <c r="I56" s="9">
        <v>220</v>
      </c>
      <c r="J56" s="8" t="s">
        <v>1195</v>
      </c>
      <c r="K56" s="8" t="s">
        <v>1232</v>
      </c>
      <c r="L56" s="8" t="s">
        <v>1178</v>
      </c>
      <c r="M56" s="8" t="s">
        <v>1159</v>
      </c>
    </row>
    <row r="57" spans="1:13" ht="15.75" customHeight="1" x14ac:dyDescent="0.25">
      <c r="A57" s="10" t="s">
        <v>918</v>
      </c>
      <c r="B57" s="10" t="s">
        <v>1234</v>
      </c>
      <c r="C57" s="10" t="s">
        <v>1152</v>
      </c>
      <c r="D57" s="10" t="s">
        <v>1163</v>
      </c>
      <c r="E57" s="10" t="s">
        <v>1236</v>
      </c>
      <c r="F57" s="10" t="s">
        <v>1237</v>
      </c>
      <c r="G57" s="11">
        <v>490</v>
      </c>
      <c r="H57" s="11">
        <v>198</v>
      </c>
      <c r="I57" s="11">
        <v>240</v>
      </c>
      <c r="J57" s="10" t="s">
        <v>954</v>
      </c>
      <c r="K57" s="10" t="s">
        <v>1240</v>
      </c>
      <c r="L57" s="10" t="s">
        <v>1242</v>
      </c>
      <c r="M57" s="10" t="s">
        <v>1159</v>
      </c>
    </row>
    <row r="58" spans="1:13" ht="15.75" customHeight="1" x14ac:dyDescent="0.25">
      <c r="A58" s="8" t="s">
        <v>940</v>
      </c>
      <c r="B58" s="8" t="s">
        <v>1243</v>
      </c>
      <c r="C58" s="8" t="s">
        <v>1152</v>
      </c>
      <c r="D58" s="8" t="s">
        <v>1163</v>
      </c>
      <c r="E58" s="8" t="s">
        <v>1245</v>
      </c>
      <c r="F58" s="8" t="s">
        <v>797</v>
      </c>
      <c r="G58" s="9">
        <v>470</v>
      </c>
      <c r="H58" s="9">
        <v>185</v>
      </c>
      <c r="I58" s="9">
        <v>290</v>
      </c>
      <c r="J58" s="8" t="s">
        <v>954</v>
      </c>
      <c r="K58" s="8" t="s">
        <v>963</v>
      </c>
      <c r="L58" s="8" t="s">
        <v>956</v>
      </c>
      <c r="M58" s="8" t="s">
        <v>1159</v>
      </c>
    </row>
    <row r="59" spans="1:13" ht="15.75" customHeight="1" x14ac:dyDescent="0.25">
      <c r="A59" s="10" t="s">
        <v>940</v>
      </c>
      <c r="B59" s="10" t="s">
        <v>1249</v>
      </c>
      <c r="C59" s="10" t="s">
        <v>1152</v>
      </c>
      <c r="D59" s="10" t="s">
        <v>794</v>
      </c>
      <c r="E59" s="10" t="s">
        <v>1250</v>
      </c>
      <c r="F59" s="10" t="s">
        <v>797</v>
      </c>
      <c r="G59" s="11">
        <v>432</v>
      </c>
      <c r="H59" s="11">
        <v>185</v>
      </c>
      <c r="I59" s="11">
        <v>288</v>
      </c>
      <c r="J59" s="10" t="s">
        <v>954</v>
      </c>
      <c r="K59" s="10" t="s">
        <v>899</v>
      </c>
      <c r="L59" s="10" t="s">
        <v>956</v>
      </c>
      <c r="M59" s="10" t="s">
        <v>803</v>
      </c>
    </row>
    <row r="60" spans="1:13" ht="15.75" customHeight="1" x14ac:dyDescent="0.25">
      <c r="A60" s="8" t="s">
        <v>1015</v>
      </c>
      <c r="B60" s="8" t="s">
        <v>1252</v>
      </c>
      <c r="C60" s="8" t="s">
        <v>1152</v>
      </c>
      <c r="D60" s="8" t="s">
        <v>794</v>
      </c>
      <c r="E60" s="8" t="s">
        <v>1253</v>
      </c>
      <c r="F60" s="8" t="s">
        <v>1254</v>
      </c>
      <c r="G60" s="9">
        <v>500</v>
      </c>
      <c r="H60" s="9">
        <v>190</v>
      </c>
      <c r="I60" s="9">
        <v>220</v>
      </c>
      <c r="J60" s="8" t="s">
        <v>939</v>
      </c>
      <c r="K60" s="8" t="s">
        <v>801</v>
      </c>
      <c r="L60" s="8" t="s">
        <v>818</v>
      </c>
      <c r="M60" s="8" t="s">
        <v>1159</v>
      </c>
    </row>
    <row r="61" spans="1:13" ht="15.75" customHeight="1" x14ac:dyDescent="0.25">
      <c r="A61" s="10" t="s">
        <v>1015</v>
      </c>
      <c r="B61" s="10" t="s">
        <v>1259</v>
      </c>
      <c r="C61" s="10" t="s">
        <v>1152</v>
      </c>
      <c r="D61" s="10" t="s">
        <v>794</v>
      </c>
      <c r="E61" s="10" t="s">
        <v>837</v>
      </c>
      <c r="F61" s="10" t="s">
        <v>797</v>
      </c>
      <c r="G61" s="11">
        <v>460</v>
      </c>
      <c r="H61" s="11">
        <v>190</v>
      </c>
      <c r="I61" s="11">
        <v>220</v>
      </c>
      <c r="J61" s="10" t="s">
        <v>1260</v>
      </c>
      <c r="K61" s="10" t="s">
        <v>963</v>
      </c>
      <c r="L61" s="10" t="s">
        <v>818</v>
      </c>
      <c r="M61" s="10" t="s">
        <v>1159</v>
      </c>
    </row>
    <row r="62" spans="1:13" ht="15.75" customHeight="1" x14ac:dyDescent="0.25">
      <c r="A62" s="8" t="s">
        <v>72</v>
      </c>
      <c r="B62" s="8" t="s">
        <v>1261</v>
      </c>
      <c r="C62" s="8" t="s">
        <v>1152</v>
      </c>
      <c r="D62" s="8" t="s">
        <v>794</v>
      </c>
      <c r="E62" s="8" t="s">
        <v>806</v>
      </c>
      <c r="F62" s="8" t="s">
        <v>797</v>
      </c>
      <c r="G62" s="9">
        <v>450</v>
      </c>
      <c r="H62" s="9">
        <v>190</v>
      </c>
      <c r="I62" s="9">
        <v>230</v>
      </c>
      <c r="J62" s="8" t="s">
        <v>954</v>
      </c>
      <c r="K62" s="8" t="s">
        <v>1264</v>
      </c>
      <c r="L62" s="8" t="s">
        <v>818</v>
      </c>
      <c r="M62" s="8" t="s">
        <v>1169</v>
      </c>
    </row>
    <row r="63" spans="1:13" ht="15.75" customHeight="1" x14ac:dyDescent="0.25">
      <c r="A63" s="10" t="s">
        <v>1064</v>
      </c>
      <c r="B63" s="10" t="s">
        <v>1265</v>
      </c>
      <c r="C63" s="10" t="s">
        <v>1152</v>
      </c>
      <c r="D63" s="10" t="s">
        <v>794</v>
      </c>
      <c r="E63" s="10" t="s">
        <v>806</v>
      </c>
      <c r="F63" s="10" t="s">
        <v>797</v>
      </c>
      <c r="G63" s="11">
        <v>405</v>
      </c>
      <c r="H63" s="11">
        <v>175</v>
      </c>
      <c r="I63" s="11">
        <v>220</v>
      </c>
      <c r="J63" s="10" t="s">
        <v>816</v>
      </c>
      <c r="K63" s="10" t="s">
        <v>1267</v>
      </c>
      <c r="L63" s="10" t="s">
        <v>818</v>
      </c>
      <c r="M63" s="10" t="s">
        <v>803</v>
      </c>
    </row>
    <row r="64" spans="1:13" ht="15.75" customHeight="1" x14ac:dyDescent="0.25">
      <c r="A64" s="8" t="s">
        <v>1064</v>
      </c>
      <c r="B64" s="8" t="s">
        <v>1268</v>
      </c>
      <c r="C64" s="8" t="s">
        <v>1152</v>
      </c>
      <c r="D64" s="8" t="s">
        <v>794</v>
      </c>
      <c r="E64" s="8" t="s">
        <v>1269</v>
      </c>
      <c r="F64" s="8" t="s">
        <v>797</v>
      </c>
      <c r="G64" s="9">
        <v>405</v>
      </c>
      <c r="H64" s="9">
        <v>175</v>
      </c>
      <c r="I64" s="9">
        <v>220</v>
      </c>
      <c r="J64" s="8" t="s">
        <v>831</v>
      </c>
      <c r="K64" s="8" t="s">
        <v>1271</v>
      </c>
      <c r="L64" s="8" t="s">
        <v>811</v>
      </c>
      <c r="M64" s="8" t="s">
        <v>803</v>
      </c>
    </row>
    <row r="65" spans="1:13" ht="15.75" customHeight="1" x14ac:dyDescent="0.25">
      <c r="A65" s="10" t="s">
        <v>1273</v>
      </c>
      <c r="B65" s="10" t="s">
        <v>1274</v>
      </c>
      <c r="C65" s="10" t="s">
        <v>1152</v>
      </c>
      <c r="D65" s="10" t="s">
        <v>1163</v>
      </c>
      <c r="E65" s="10" t="s">
        <v>806</v>
      </c>
      <c r="F65" s="10" t="s">
        <v>797</v>
      </c>
      <c r="G65" s="11">
        <v>447</v>
      </c>
      <c r="H65" s="11">
        <v>190</v>
      </c>
      <c r="I65" s="11">
        <v>220</v>
      </c>
      <c r="J65" s="10" t="s">
        <v>816</v>
      </c>
      <c r="K65" s="10" t="s">
        <v>1196</v>
      </c>
      <c r="L65" s="10" t="s">
        <v>818</v>
      </c>
      <c r="M65" s="10" t="s">
        <v>1159</v>
      </c>
    </row>
    <row r="66" spans="1:13" ht="15.75" customHeight="1" x14ac:dyDescent="0.25">
      <c r="A66" s="8" t="s">
        <v>1114</v>
      </c>
      <c r="B66" s="8" t="s">
        <v>1278</v>
      </c>
      <c r="C66" s="8" t="s">
        <v>1162</v>
      </c>
      <c r="D66" s="8" t="s">
        <v>1163</v>
      </c>
      <c r="E66" s="8" t="s">
        <v>1279</v>
      </c>
      <c r="F66" s="8" t="s">
        <v>797</v>
      </c>
      <c r="G66" s="9">
        <v>480</v>
      </c>
      <c r="H66" s="9">
        <v>190</v>
      </c>
      <c r="I66" s="9">
        <v>250</v>
      </c>
      <c r="J66" s="8" t="s">
        <v>1195</v>
      </c>
      <c r="K66" s="8" t="s">
        <v>1280</v>
      </c>
      <c r="L66" s="8" t="s">
        <v>1281</v>
      </c>
      <c r="M66" s="8" t="s">
        <v>1159</v>
      </c>
    </row>
    <row r="67" spans="1:13" ht="15.75" customHeight="1" x14ac:dyDescent="0.25">
      <c r="A67" s="10" t="s">
        <v>1091</v>
      </c>
      <c r="B67" s="10" t="s">
        <v>1283</v>
      </c>
      <c r="C67" s="10" t="s">
        <v>1152</v>
      </c>
      <c r="D67" s="10" t="s">
        <v>794</v>
      </c>
      <c r="E67" s="10" t="s">
        <v>1284</v>
      </c>
      <c r="F67" s="10" t="s">
        <v>1095</v>
      </c>
      <c r="G67" s="11">
        <v>422</v>
      </c>
      <c r="H67" s="11">
        <v>164</v>
      </c>
      <c r="I67" s="11">
        <v>220</v>
      </c>
      <c r="J67" s="10" t="s">
        <v>1110</v>
      </c>
      <c r="K67" s="10" t="s">
        <v>832</v>
      </c>
      <c r="L67" s="10" t="s">
        <v>850</v>
      </c>
      <c r="M67" s="10" t="s">
        <v>1104</v>
      </c>
    </row>
    <row r="68" spans="1:13" ht="15.75" customHeight="1" x14ac:dyDescent="0.25"/>
    <row r="69" spans="1:13" ht="15.75" customHeight="1" x14ac:dyDescent="0.25"/>
    <row r="70" spans="1:13" ht="15.75" customHeight="1" x14ac:dyDescent="0.25"/>
    <row r="71" spans="1:13" ht="15.75" customHeight="1" x14ac:dyDescent="0.25"/>
    <row r="72" spans="1:13" ht="15.75" customHeight="1" x14ac:dyDescent="0.25"/>
    <row r="73" spans="1:13" ht="15.75" customHeight="1" x14ac:dyDescent="0.25"/>
    <row r="74" spans="1:13" ht="15.75" customHeight="1" x14ac:dyDescent="0.25"/>
    <row r="75" spans="1:13" ht="15.75" customHeight="1" x14ac:dyDescent="0.25"/>
    <row r="76" spans="1:13" ht="15.75" customHeight="1" x14ac:dyDescent="0.25"/>
    <row r="77" spans="1:13" ht="15.75" customHeight="1" x14ac:dyDescent="0.25"/>
    <row r="78" spans="1:13" ht="15.75" customHeight="1" x14ac:dyDescent="0.25"/>
    <row r="79" spans="1:13" ht="15.75" customHeight="1" x14ac:dyDescent="0.25"/>
    <row r="80" spans="1:1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M67"/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I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6" customWidth="1"/>
    <col min="2" max="2" width="31" customWidth="1"/>
    <col min="3" max="3" width="20" customWidth="1"/>
    <col min="4" max="4" width="31" customWidth="1"/>
    <col min="5" max="5" width="22" customWidth="1"/>
    <col min="6" max="6" width="16" customWidth="1"/>
    <col min="7" max="7" width="29" customWidth="1"/>
    <col min="8" max="8" width="16" customWidth="1"/>
    <col min="9" max="9" width="35" customWidth="1"/>
    <col min="10" max="26" width="8.7109375" customWidth="1"/>
  </cols>
  <sheetData>
    <row r="1" spans="1:9" ht="31.5" customHeight="1" x14ac:dyDescent="0.25">
      <c r="A1" s="2" t="s">
        <v>1</v>
      </c>
      <c r="B1" s="2" t="s">
        <v>4</v>
      </c>
      <c r="C1" s="2" t="s">
        <v>183</v>
      </c>
      <c r="D1" s="2" t="s">
        <v>926</v>
      </c>
      <c r="E1" s="2" t="s">
        <v>929</v>
      </c>
      <c r="F1" s="2" t="s">
        <v>932</v>
      </c>
      <c r="G1" s="2" t="s">
        <v>936</v>
      </c>
      <c r="H1" s="2" t="s">
        <v>193</v>
      </c>
      <c r="I1" s="2" t="s">
        <v>778</v>
      </c>
    </row>
    <row r="2" spans="1:9" x14ac:dyDescent="0.25">
      <c r="A2" s="8" t="s">
        <v>918</v>
      </c>
      <c r="B2" s="8" t="s">
        <v>945</v>
      </c>
      <c r="C2" s="8" t="s">
        <v>947</v>
      </c>
      <c r="D2" s="8" t="s">
        <v>948</v>
      </c>
      <c r="E2" s="8" t="s">
        <v>950</v>
      </c>
      <c r="F2" s="9">
        <v>150</v>
      </c>
      <c r="G2" s="8" t="s">
        <v>955</v>
      </c>
      <c r="H2" s="8" t="s">
        <v>203</v>
      </c>
      <c r="I2" s="8" t="s">
        <v>961</v>
      </c>
    </row>
    <row r="3" spans="1:9" x14ac:dyDescent="0.25">
      <c r="A3" s="10" t="s">
        <v>918</v>
      </c>
      <c r="B3" s="10" t="s">
        <v>967</v>
      </c>
      <c r="C3" s="10" t="s">
        <v>947</v>
      </c>
      <c r="D3" s="10" t="s">
        <v>948</v>
      </c>
      <c r="E3" s="10" t="s">
        <v>970</v>
      </c>
      <c r="F3" s="11">
        <v>150</v>
      </c>
      <c r="G3" s="10" t="s">
        <v>973</v>
      </c>
      <c r="H3" s="10" t="s">
        <v>201</v>
      </c>
      <c r="I3" s="10" t="s">
        <v>976</v>
      </c>
    </row>
    <row r="4" spans="1:9" x14ac:dyDescent="0.25">
      <c r="A4" s="8" t="s">
        <v>979</v>
      </c>
      <c r="B4" s="8" t="s">
        <v>980</v>
      </c>
      <c r="C4" s="8" t="s">
        <v>947</v>
      </c>
      <c r="D4" s="8" t="s">
        <v>983</v>
      </c>
      <c r="E4" s="8" t="s">
        <v>950</v>
      </c>
      <c r="F4" s="9">
        <v>220</v>
      </c>
      <c r="G4" s="8" t="s">
        <v>973</v>
      </c>
      <c r="H4" s="8" t="s">
        <v>203</v>
      </c>
      <c r="I4" s="8" t="s">
        <v>987</v>
      </c>
    </row>
    <row r="5" spans="1:9" x14ac:dyDescent="0.25">
      <c r="A5" s="10" t="s">
        <v>979</v>
      </c>
      <c r="B5" s="10" t="s">
        <v>989</v>
      </c>
      <c r="C5" s="10" t="s">
        <v>990</v>
      </c>
      <c r="D5" s="10" t="s">
        <v>993</v>
      </c>
      <c r="E5" s="10" t="s">
        <v>995</v>
      </c>
      <c r="F5" s="11">
        <v>260</v>
      </c>
      <c r="G5" s="10" t="s">
        <v>973</v>
      </c>
      <c r="H5" s="10" t="s">
        <v>203</v>
      </c>
      <c r="I5" s="10" t="s">
        <v>999</v>
      </c>
    </row>
    <row r="6" spans="1:9" x14ac:dyDescent="0.25">
      <c r="A6" s="8" t="s">
        <v>979</v>
      </c>
      <c r="B6" s="8" t="s">
        <v>1002</v>
      </c>
      <c r="C6" s="8" t="s">
        <v>947</v>
      </c>
      <c r="D6" s="8" t="s">
        <v>1003</v>
      </c>
      <c r="E6" s="8" t="s">
        <v>950</v>
      </c>
      <c r="F6" s="9">
        <v>220</v>
      </c>
      <c r="G6" s="8" t="s">
        <v>1008</v>
      </c>
      <c r="H6" s="8" t="s">
        <v>231</v>
      </c>
      <c r="I6" s="8" t="s">
        <v>1009</v>
      </c>
    </row>
    <row r="7" spans="1:9" x14ac:dyDescent="0.25">
      <c r="A7" s="10" t="s">
        <v>1011</v>
      </c>
      <c r="B7" s="10" t="s">
        <v>1012</v>
      </c>
      <c r="C7" s="10" t="s">
        <v>990</v>
      </c>
      <c r="D7" s="10" t="s">
        <v>983</v>
      </c>
      <c r="E7" s="10" t="s">
        <v>995</v>
      </c>
      <c r="F7" s="11">
        <v>245</v>
      </c>
      <c r="G7" s="10" t="s">
        <v>973</v>
      </c>
      <c r="H7" s="10" t="s">
        <v>203</v>
      </c>
      <c r="I7" s="10" t="s">
        <v>1020</v>
      </c>
    </row>
    <row r="8" spans="1:9" x14ac:dyDescent="0.25">
      <c r="A8" s="8" t="s">
        <v>1011</v>
      </c>
      <c r="B8" s="8" t="s">
        <v>1023</v>
      </c>
      <c r="C8" s="8" t="s">
        <v>990</v>
      </c>
      <c r="D8" s="8" t="s">
        <v>1025</v>
      </c>
      <c r="E8" s="8" t="s">
        <v>995</v>
      </c>
      <c r="F8" s="9">
        <v>245</v>
      </c>
      <c r="G8" s="8" t="s">
        <v>973</v>
      </c>
      <c r="H8" s="8" t="s">
        <v>203</v>
      </c>
      <c r="I8" s="8" t="s">
        <v>1028</v>
      </c>
    </row>
    <row r="9" spans="1:9" x14ac:dyDescent="0.25">
      <c r="A9" s="10" t="s">
        <v>1011</v>
      </c>
      <c r="B9" s="10" t="s">
        <v>1031</v>
      </c>
      <c r="C9" s="10" t="s">
        <v>947</v>
      </c>
      <c r="D9" s="10" t="s">
        <v>1032</v>
      </c>
      <c r="E9" s="10" t="s">
        <v>950</v>
      </c>
      <c r="F9" s="11">
        <v>180</v>
      </c>
      <c r="G9" s="10" t="s">
        <v>1008</v>
      </c>
      <c r="H9" s="10" t="s">
        <v>203</v>
      </c>
      <c r="I9" s="10" t="s">
        <v>1034</v>
      </c>
    </row>
    <row r="10" spans="1:9" x14ac:dyDescent="0.25">
      <c r="A10" s="8" t="s">
        <v>1037</v>
      </c>
      <c r="B10" s="8" t="s">
        <v>1039</v>
      </c>
      <c r="C10" s="8" t="s">
        <v>947</v>
      </c>
      <c r="D10" s="8" t="s">
        <v>1040</v>
      </c>
      <c r="E10" s="8" t="s">
        <v>950</v>
      </c>
      <c r="F10" s="9">
        <v>180</v>
      </c>
      <c r="G10" s="8" t="s">
        <v>973</v>
      </c>
      <c r="H10" s="8" t="s">
        <v>203</v>
      </c>
      <c r="I10" s="8" t="s">
        <v>1042</v>
      </c>
    </row>
    <row r="11" spans="1:9" x14ac:dyDescent="0.25">
      <c r="A11" s="10" t="s">
        <v>1037</v>
      </c>
      <c r="B11" s="10" t="s">
        <v>1047</v>
      </c>
      <c r="C11" s="10" t="s">
        <v>990</v>
      </c>
      <c r="D11" s="10" t="s">
        <v>1040</v>
      </c>
      <c r="E11" s="10" t="s">
        <v>995</v>
      </c>
      <c r="F11" s="11">
        <v>220</v>
      </c>
      <c r="G11" s="10" t="s">
        <v>973</v>
      </c>
      <c r="H11" s="10" t="s">
        <v>203</v>
      </c>
      <c r="I11" s="10" t="s">
        <v>1050</v>
      </c>
    </row>
    <row r="12" spans="1:9" x14ac:dyDescent="0.25">
      <c r="A12" s="8" t="s">
        <v>1037</v>
      </c>
      <c r="B12" s="8" t="s">
        <v>1052</v>
      </c>
      <c r="C12" s="8" t="s">
        <v>990</v>
      </c>
      <c r="D12" s="8" t="s">
        <v>1054</v>
      </c>
      <c r="E12" s="8" t="s">
        <v>1056</v>
      </c>
      <c r="F12" s="9">
        <v>250</v>
      </c>
      <c r="G12" s="8" t="s">
        <v>973</v>
      </c>
      <c r="H12" s="8" t="s">
        <v>203</v>
      </c>
      <c r="I12" s="8" t="s">
        <v>1057</v>
      </c>
    </row>
    <row r="13" spans="1:9" x14ac:dyDescent="0.25">
      <c r="A13" s="10" t="s">
        <v>1037</v>
      </c>
      <c r="B13" s="10" t="s">
        <v>1059</v>
      </c>
      <c r="C13" s="10" t="s">
        <v>990</v>
      </c>
      <c r="D13" s="10" t="s">
        <v>1061</v>
      </c>
      <c r="E13" s="10" t="s">
        <v>1056</v>
      </c>
      <c r="F13" s="11">
        <v>280</v>
      </c>
      <c r="G13" s="10" t="s">
        <v>1063</v>
      </c>
      <c r="H13" s="10" t="s">
        <v>203</v>
      </c>
      <c r="I13" s="10" t="s">
        <v>1067</v>
      </c>
    </row>
    <row r="14" spans="1:9" x14ac:dyDescent="0.25">
      <c r="A14" s="8" t="s">
        <v>940</v>
      </c>
      <c r="B14" s="8" t="s">
        <v>1068</v>
      </c>
      <c r="C14" s="8" t="s">
        <v>947</v>
      </c>
      <c r="D14" s="8" t="s">
        <v>983</v>
      </c>
      <c r="E14" s="8" t="s">
        <v>950</v>
      </c>
      <c r="F14" s="9">
        <v>150</v>
      </c>
      <c r="G14" s="8" t="s">
        <v>1008</v>
      </c>
      <c r="H14" s="8" t="s">
        <v>203</v>
      </c>
      <c r="I14" s="8" t="s">
        <v>1071</v>
      </c>
    </row>
    <row r="15" spans="1:9" x14ac:dyDescent="0.25">
      <c r="A15" s="10" t="s">
        <v>940</v>
      </c>
      <c r="B15" s="10" t="s">
        <v>1072</v>
      </c>
      <c r="C15" s="10" t="s">
        <v>990</v>
      </c>
      <c r="D15" s="10" t="s">
        <v>1073</v>
      </c>
      <c r="E15" s="10" t="s">
        <v>1075</v>
      </c>
      <c r="F15" s="11">
        <v>270</v>
      </c>
      <c r="G15" s="10" t="s">
        <v>973</v>
      </c>
      <c r="H15" s="10" t="s">
        <v>203</v>
      </c>
      <c r="I15" s="10" t="s">
        <v>1076</v>
      </c>
    </row>
    <row r="16" spans="1:9" x14ac:dyDescent="0.25">
      <c r="A16" s="8" t="s">
        <v>1077</v>
      </c>
      <c r="B16" s="8" t="s">
        <v>1079</v>
      </c>
      <c r="C16" s="8" t="s">
        <v>947</v>
      </c>
      <c r="D16" s="8" t="s">
        <v>1081</v>
      </c>
      <c r="E16" s="8" t="s">
        <v>950</v>
      </c>
      <c r="F16" s="9">
        <v>180</v>
      </c>
      <c r="G16" s="8" t="s">
        <v>1008</v>
      </c>
      <c r="H16" s="8" t="s">
        <v>1084</v>
      </c>
      <c r="I16" s="8" t="s">
        <v>1085</v>
      </c>
    </row>
    <row r="17" spans="1:9" x14ac:dyDescent="0.25">
      <c r="A17" s="10" t="s">
        <v>1086</v>
      </c>
      <c r="B17" s="10" t="s">
        <v>1087</v>
      </c>
      <c r="C17" s="10" t="s">
        <v>990</v>
      </c>
      <c r="D17" s="10" t="s">
        <v>948</v>
      </c>
      <c r="E17" s="10" t="s">
        <v>995</v>
      </c>
      <c r="F17" s="11">
        <v>210</v>
      </c>
      <c r="G17" s="10" t="s">
        <v>1063</v>
      </c>
      <c r="H17" s="10" t="s">
        <v>203</v>
      </c>
      <c r="I17" s="10" t="s">
        <v>1093</v>
      </c>
    </row>
    <row r="18" spans="1:9" x14ac:dyDescent="0.25">
      <c r="A18" s="8" t="s">
        <v>412</v>
      </c>
      <c r="B18" s="8" t="s">
        <v>1094</v>
      </c>
      <c r="C18" s="8" t="s">
        <v>1096</v>
      </c>
      <c r="D18" s="8" t="s">
        <v>1097</v>
      </c>
      <c r="E18" s="8" t="s">
        <v>1098</v>
      </c>
      <c r="F18" s="9">
        <v>65</v>
      </c>
      <c r="G18" s="8" t="s">
        <v>1101</v>
      </c>
      <c r="H18" s="8" t="s">
        <v>203</v>
      </c>
      <c r="I18" s="8" t="s">
        <v>1103</v>
      </c>
    </row>
    <row r="19" spans="1:9" x14ac:dyDescent="0.25">
      <c r="A19" s="10" t="s">
        <v>412</v>
      </c>
      <c r="B19" s="10" t="s">
        <v>1106</v>
      </c>
      <c r="C19" s="10" t="s">
        <v>947</v>
      </c>
      <c r="D19" s="10" t="s">
        <v>1107</v>
      </c>
      <c r="E19" s="10" t="s">
        <v>1108</v>
      </c>
      <c r="F19" s="11">
        <v>105</v>
      </c>
      <c r="G19" s="10" t="s">
        <v>440</v>
      </c>
      <c r="H19" s="10" t="s">
        <v>201</v>
      </c>
      <c r="I19" s="10" t="s">
        <v>1111</v>
      </c>
    </row>
    <row r="20" spans="1:9" x14ac:dyDescent="0.25">
      <c r="A20" s="8" t="s">
        <v>17</v>
      </c>
      <c r="B20" s="8" t="s">
        <v>1113</v>
      </c>
      <c r="C20" s="8" t="s">
        <v>1096</v>
      </c>
      <c r="D20" s="8" t="s">
        <v>1116</v>
      </c>
      <c r="E20" s="8" t="s">
        <v>1117</v>
      </c>
      <c r="F20" s="9">
        <v>65</v>
      </c>
      <c r="G20" s="8" t="s">
        <v>179</v>
      </c>
      <c r="H20" s="8" t="s">
        <v>203</v>
      </c>
      <c r="I20" s="8" t="s">
        <v>1118</v>
      </c>
    </row>
    <row r="21" spans="1:9" ht="15.75" customHeight="1" x14ac:dyDescent="0.25">
      <c r="A21" s="10" t="s">
        <v>918</v>
      </c>
      <c r="B21" s="10" t="s">
        <v>1122</v>
      </c>
      <c r="C21" s="10" t="s">
        <v>1124</v>
      </c>
      <c r="D21" s="10" t="s">
        <v>1126</v>
      </c>
      <c r="E21" s="10" t="s">
        <v>1128</v>
      </c>
      <c r="F21" s="11">
        <v>250</v>
      </c>
      <c r="G21" s="10" t="s">
        <v>973</v>
      </c>
      <c r="H21" s="10" t="s">
        <v>201</v>
      </c>
      <c r="I21" s="10" t="s">
        <v>1132</v>
      </c>
    </row>
    <row r="22" spans="1:9" ht="15.75" customHeight="1" x14ac:dyDescent="0.25">
      <c r="A22" s="8" t="s">
        <v>918</v>
      </c>
      <c r="B22" s="8" t="s">
        <v>1133</v>
      </c>
      <c r="C22" s="8" t="s">
        <v>1124</v>
      </c>
      <c r="D22" s="8" t="s">
        <v>1136</v>
      </c>
      <c r="E22" s="8" t="s">
        <v>860</v>
      </c>
      <c r="F22" s="9">
        <v>280</v>
      </c>
      <c r="G22" s="8" t="s">
        <v>973</v>
      </c>
      <c r="H22" s="8" t="s">
        <v>201</v>
      </c>
      <c r="I22" s="8" t="s">
        <v>1140</v>
      </c>
    </row>
    <row r="23" spans="1:9" ht="15.75" customHeight="1" x14ac:dyDescent="0.25">
      <c r="A23" s="10" t="s">
        <v>979</v>
      </c>
      <c r="B23" s="10" t="s">
        <v>1142</v>
      </c>
      <c r="C23" s="10" t="s">
        <v>1124</v>
      </c>
      <c r="D23" s="10" t="s">
        <v>1143</v>
      </c>
      <c r="E23" s="10" t="s">
        <v>1144</v>
      </c>
      <c r="F23" s="11">
        <v>260</v>
      </c>
      <c r="G23" s="10" t="s">
        <v>973</v>
      </c>
      <c r="H23" s="10" t="s">
        <v>201</v>
      </c>
      <c r="I23" s="10" t="s">
        <v>1153</v>
      </c>
    </row>
    <row r="24" spans="1:9" ht="15.75" customHeight="1" x14ac:dyDescent="0.25">
      <c r="A24" s="8" t="s">
        <v>979</v>
      </c>
      <c r="B24" s="8" t="s">
        <v>1156</v>
      </c>
      <c r="C24" s="8" t="s">
        <v>1124</v>
      </c>
      <c r="D24" s="8" t="s">
        <v>1143</v>
      </c>
      <c r="E24" s="8" t="s">
        <v>1144</v>
      </c>
      <c r="F24" s="9">
        <v>280</v>
      </c>
      <c r="G24" s="8" t="s">
        <v>973</v>
      </c>
      <c r="H24" s="8" t="s">
        <v>201</v>
      </c>
      <c r="I24" s="8" t="s">
        <v>1161</v>
      </c>
    </row>
    <row r="25" spans="1:9" ht="15.75" customHeight="1" x14ac:dyDescent="0.25">
      <c r="A25" s="10" t="s">
        <v>244</v>
      </c>
      <c r="B25" s="10" t="s">
        <v>1165</v>
      </c>
      <c r="C25" s="10" t="s">
        <v>1124</v>
      </c>
      <c r="D25" s="10" t="s">
        <v>1126</v>
      </c>
      <c r="E25" s="10" t="s">
        <v>1170</v>
      </c>
      <c r="F25" s="11">
        <v>250</v>
      </c>
      <c r="G25" s="10" t="s">
        <v>1008</v>
      </c>
      <c r="H25" s="10" t="s">
        <v>201</v>
      </c>
      <c r="I25" s="10" t="s">
        <v>1174</v>
      </c>
    </row>
    <row r="26" spans="1:9" ht="15.75" customHeight="1" x14ac:dyDescent="0.25">
      <c r="A26" s="8" t="s">
        <v>244</v>
      </c>
      <c r="B26" s="8" t="s">
        <v>1176</v>
      </c>
      <c r="C26" s="8" t="s">
        <v>1124</v>
      </c>
      <c r="D26" s="8" t="s">
        <v>1136</v>
      </c>
      <c r="E26" s="8" t="s">
        <v>873</v>
      </c>
      <c r="F26" s="9">
        <v>280</v>
      </c>
      <c r="G26" s="8" t="s">
        <v>1008</v>
      </c>
      <c r="H26" s="8" t="s">
        <v>201</v>
      </c>
      <c r="I26" s="8" t="s">
        <v>1184</v>
      </c>
    </row>
    <row r="27" spans="1:9" ht="15.75" customHeight="1" x14ac:dyDescent="0.25">
      <c r="A27" s="10" t="s">
        <v>244</v>
      </c>
      <c r="B27" s="10" t="s">
        <v>1187</v>
      </c>
      <c r="C27" s="10" t="s">
        <v>1124</v>
      </c>
      <c r="D27" s="10" t="s">
        <v>1136</v>
      </c>
      <c r="E27" s="10" t="s">
        <v>873</v>
      </c>
      <c r="F27" s="11">
        <v>300</v>
      </c>
      <c r="G27" s="10" t="s">
        <v>1190</v>
      </c>
      <c r="H27" s="10" t="s">
        <v>201</v>
      </c>
      <c r="I27" s="10" t="s">
        <v>1194</v>
      </c>
    </row>
    <row r="28" spans="1:9" ht="15.75" customHeight="1" x14ac:dyDescent="0.25">
      <c r="A28" s="8" t="s">
        <v>820</v>
      </c>
      <c r="B28" s="8" t="s">
        <v>1198</v>
      </c>
      <c r="C28" s="8" t="s">
        <v>1124</v>
      </c>
      <c r="D28" s="8" t="s">
        <v>1126</v>
      </c>
      <c r="E28" s="8" t="s">
        <v>826</v>
      </c>
      <c r="F28" s="9">
        <v>250</v>
      </c>
      <c r="G28" s="8" t="s">
        <v>1008</v>
      </c>
      <c r="H28" s="8" t="s">
        <v>201</v>
      </c>
      <c r="I28" s="8" t="s">
        <v>1202</v>
      </c>
    </row>
    <row r="29" spans="1:9" ht="15.75" customHeight="1" x14ac:dyDescent="0.25">
      <c r="A29" s="10" t="s">
        <v>820</v>
      </c>
      <c r="B29" s="10" t="s">
        <v>1203</v>
      </c>
      <c r="C29" s="10" t="s">
        <v>1124</v>
      </c>
      <c r="D29" s="10" t="s">
        <v>1136</v>
      </c>
      <c r="E29" s="10" t="s">
        <v>873</v>
      </c>
      <c r="F29" s="11">
        <v>300</v>
      </c>
      <c r="G29" s="10" t="s">
        <v>1190</v>
      </c>
      <c r="H29" s="10" t="s">
        <v>201</v>
      </c>
      <c r="I29" s="10" t="s">
        <v>1206</v>
      </c>
    </row>
    <row r="30" spans="1:9" ht="15.75" customHeight="1" x14ac:dyDescent="0.25">
      <c r="A30" s="8" t="s">
        <v>1086</v>
      </c>
      <c r="B30" s="8" t="s">
        <v>1209</v>
      </c>
      <c r="C30" s="8" t="s">
        <v>1124</v>
      </c>
      <c r="D30" s="8" t="s">
        <v>1210</v>
      </c>
      <c r="E30" s="8" t="s">
        <v>826</v>
      </c>
      <c r="F30" s="9">
        <v>280</v>
      </c>
      <c r="G30" s="8" t="s">
        <v>1190</v>
      </c>
      <c r="H30" s="8" t="s">
        <v>1084</v>
      </c>
      <c r="I30" s="8" t="s">
        <v>1213</v>
      </c>
    </row>
    <row r="31" spans="1:9" ht="15.75" customHeight="1" x14ac:dyDescent="0.25">
      <c r="A31" s="10" t="s">
        <v>1086</v>
      </c>
      <c r="B31" s="10" t="s">
        <v>1214</v>
      </c>
      <c r="C31" s="10" t="s">
        <v>1124</v>
      </c>
      <c r="D31" s="10" t="s">
        <v>1215</v>
      </c>
      <c r="E31" s="10" t="s">
        <v>832</v>
      </c>
      <c r="F31" s="11">
        <v>300</v>
      </c>
      <c r="G31" s="10" t="s">
        <v>1190</v>
      </c>
      <c r="H31" s="10" t="s">
        <v>1084</v>
      </c>
      <c r="I31" s="10" t="s">
        <v>1213</v>
      </c>
    </row>
    <row r="32" spans="1:9" ht="15.75" customHeight="1" x14ac:dyDescent="0.25">
      <c r="A32" s="8" t="s">
        <v>789</v>
      </c>
      <c r="B32" s="8" t="s">
        <v>1219</v>
      </c>
      <c r="C32" s="8" t="s">
        <v>1124</v>
      </c>
      <c r="D32" s="8" t="s">
        <v>1136</v>
      </c>
      <c r="E32" s="8" t="s">
        <v>860</v>
      </c>
      <c r="F32" s="9">
        <v>300</v>
      </c>
      <c r="G32" s="8" t="s">
        <v>973</v>
      </c>
      <c r="H32" s="8" t="s">
        <v>201</v>
      </c>
      <c r="I32" s="8" t="s">
        <v>1223</v>
      </c>
    </row>
    <row r="33" spans="1:9" ht="15.75" customHeight="1" x14ac:dyDescent="0.25">
      <c r="A33" s="10" t="s">
        <v>1011</v>
      </c>
      <c r="B33" s="10" t="s">
        <v>1226</v>
      </c>
      <c r="C33" s="10" t="s">
        <v>1124</v>
      </c>
      <c r="D33" s="10" t="s">
        <v>1136</v>
      </c>
      <c r="E33" s="10" t="s">
        <v>860</v>
      </c>
      <c r="F33" s="11">
        <v>280</v>
      </c>
      <c r="G33" s="10" t="s">
        <v>973</v>
      </c>
      <c r="H33" s="10" t="s">
        <v>201</v>
      </c>
      <c r="I33" s="10" t="s">
        <v>1231</v>
      </c>
    </row>
    <row r="34" spans="1:9" ht="15.75" customHeight="1" x14ac:dyDescent="0.25">
      <c r="A34" s="8" t="s">
        <v>72</v>
      </c>
      <c r="B34" s="8" t="s">
        <v>1233</v>
      </c>
      <c r="C34" s="8" t="s">
        <v>1124</v>
      </c>
      <c r="D34" s="8" t="s">
        <v>1136</v>
      </c>
      <c r="E34" s="8" t="s">
        <v>860</v>
      </c>
      <c r="F34" s="9">
        <v>300</v>
      </c>
      <c r="G34" s="8" t="s">
        <v>973</v>
      </c>
      <c r="H34" s="8" t="s">
        <v>201</v>
      </c>
      <c r="I34" s="8" t="s">
        <v>1241</v>
      </c>
    </row>
    <row r="35" spans="1:9" ht="15.75" customHeight="1" x14ac:dyDescent="0.25">
      <c r="A35" s="10" t="s">
        <v>123</v>
      </c>
      <c r="B35" s="10" t="s">
        <v>1244</v>
      </c>
      <c r="C35" s="10" t="s">
        <v>1124</v>
      </c>
      <c r="D35" s="10" t="s">
        <v>1136</v>
      </c>
      <c r="E35" s="10" t="s">
        <v>860</v>
      </c>
      <c r="F35" s="11">
        <v>280</v>
      </c>
      <c r="G35" s="10" t="s">
        <v>973</v>
      </c>
      <c r="H35" s="10" t="s">
        <v>201</v>
      </c>
      <c r="I35" s="10" t="s">
        <v>1247</v>
      </c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I35"/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000"/>
  <sheetViews>
    <sheetView workbookViewId="0"/>
  </sheetViews>
  <sheetFormatPr defaultColWidth="14.42578125" defaultRowHeight="15" customHeight="1" x14ac:dyDescent="0.25"/>
  <cols>
    <col min="1" max="1" width="16" customWidth="1"/>
    <col min="2" max="2" width="30" customWidth="1"/>
    <col min="3" max="3" width="12" customWidth="1"/>
    <col min="4" max="4" width="24" customWidth="1"/>
    <col min="5" max="5" width="12" customWidth="1"/>
    <col min="6" max="26" width="8.7109375" customWidth="1"/>
  </cols>
  <sheetData>
    <row r="1" spans="1:5" ht="18" x14ac:dyDescent="0.25">
      <c r="A1" s="1" t="s">
        <v>1359</v>
      </c>
    </row>
    <row r="2" spans="1:5" x14ac:dyDescent="0.25">
      <c r="A2" s="12" t="s">
        <v>1360</v>
      </c>
    </row>
    <row r="4" spans="1:5" x14ac:dyDescent="0.25">
      <c r="A4" s="13" t="s">
        <v>1367</v>
      </c>
      <c r="B4" s="13" t="s">
        <v>1371</v>
      </c>
      <c r="C4" s="13" t="s">
        <v>1374</v>
      </c>
      <c r="D4" s="13" t="s">
        <v>1375</v>
      </c>
      <c r="E4" s="13" t="s">
        <v>1378</v>
      </c>
    </row>
    <row r="5" spans="1:5" x14ac:dyDescent="0.25">
      <c r="A5" s="14" t="s">
        <v>1379</v>
      </c>
      <c r="B5" s="15" t="s">
        <v>1381</v>
      </c>
      <c r="C5" s="16">
        <f>COUNTA('1. CPU'!C2:C500)</f>
        <v>170</v>
      </c>
      <c r="D5" s="15" t="s">
        <v>17</v>
      </c>
      <c r="E5" s="9">
        <f>COUNTIF('1. CPU'!A2:A500,"Intel")</f>
        <v>96</v>
      </c>
    </row>
    <row r="6" spans="1:5" x14ac:dyDescent="0.25">
      <c r="A6" s="17"/>
      <c r="B6" s="17"/>
      <c r="C6" s="17"/>
      <c r="D6" s="15" t="s">
        <v>412</v>
      </c>
      <c r="E6" s="9">
        <f>COUNTIF('1. CPU'!A2:A500,"AMD")</f>
        <v>74</v>
      </c>
    </row>
    <row r="7" spans="1:5" x14ac:dyDescent="0.25">
      <c r="A7" s="17"/>
      <c r="B7" s="17"/>
      <c r="C7" s="17"/>
      <c r="D7" s="15" t="s">
        <v>1405</v>
      </c>
      <c r="E7" s="9">
        <f>COUNTIF('1. CPU'!E2:E500,"AM4")</f>
        <v>50</v>
      </c>
    </row>
    <row r="8" spans="1:5" x14ac:dyDescent="0.25">
      <c r="A8" s="17"/>
      <c r="B8" s="17"/>
      <c r="C8" s="17"/>
      <c r="D8" s="15" t="s">
        <v>1408</v>
      </c>
      <c r="E8" s="9">
        <f>COUNTIF('1. CPU'!E2:E500,"AM5")</f>
        <v>24</v>
      </c>
    </row>
    <row r="9" spans="1:5" x14ac:dyDescent="0.25">
      <c r="A9" s="17"/>
      <c r="B9" s="17"/>
      <c r="C9" s="17"/>
      <c r="D9" s="15" t="s">
        <v>1411</v>
      </c>
      <c r="E9" s="9">
        <f>COUNTIF('1. CPU'!E2:E500,"LGA1200")</f>
        <v>35</v>
      </c>
    </row>
    <row r="10" spans="1:5" x14ac:dyDescent="0.25">
      <c r="A10" s="17"/>
      <c r="B10" s="17"/>
      <c r="C10" s="17"/>
      <c r="D10" s="15" t="s">
        <v>1414</v>
      </c>
      <c r="E10" s="9">
        <f>COUNTIF('1. CPU'!E2:E500,"LGA1700")</f>
        <v>51</v>
      </c>
    </row>
    <row r="11" spans="1:5" x14ac:dyDescent="0.25">
      <c r="A11" s="17"/>
      <c r="B11" s="17"/>
      <c r="C11" s="17"/>
      <c r="D11" s="15" t="s">
        <v>1416</v>
      </c>
      <c r="E11" s="9">
        <f>COUNTIF('1. CPU'!E2:E500,"LGA1851")</f>
        <v>10</v>
      </c>
    </row>
    <row r="12" spans="1:5" x14ac:dyDescent="0.25">
      <c r="A12" s="14" t="s">
        <v>1418</v>
      </c>
      <c r="B12" s="15" t="s">
        <v>1419</v>
      </c>
      <c r="C12" s="16">
        <f>COUNTA('2. GPU'!C2:C500)</f>
        <v>75</v>
      </c>
      <c r="D12" s="15" t="s">
        <v>71</v>
      </c>
      <c r="E12" s="9">
        <f>COUNTIF('2. GPU'!A2:A500,"NVIDIA")</f>
        <v>41</v>
      </c>
    </row>
    <row r="13" spans="1:5" x14ac:dyDescent="0.25">
      <c r="A13" s="17"/>
      <c r="B13" s="17"/>
      <c r="C13" s="17"/>
      <c r="D13" s="15" t="s">
        <v>412</v>
      </c>
      <c r="E13" s="9">
        <f>COUNTIF('2. GPU'!A2:A500,"AMD")</f>
        <v>26</v>
      </c>
    </row>
    <row r="14" spans="1:5" x14ac:dyDescent="0.25">
      <c r="A14" s="17"/>
      <c r="B14" s="17"/>
      <c r="C14" s="17"/>
      <c r="D14" s="15" t="s">
        <v>1426</v>
      </c>
      <c r="E14" s="9">
        <f>COUNTIF('2. GPU'!A2:A500,"Intel")</f>
        <v>8</v>
      </c>
    </row>
    <row r="15" spans="1:5" x14ac:dyDescent="0.25">
      <c r="A15" s="18" t="s">
        <v>1429</v>
      </c>
      <c r="B15" s="19" t="s">
        <v>1431</v>
      </c>
      <c r="C15" s="20">
        <f>COUNTA('3. Motherboard'!B2:B500)</f>
        <v>67</v>
      </c>
      <c r="D15" s="19" t="s">
        <v>1434</v>
      </c>
      <c r="E15" s="11">
        <f>COUNTIF('3. Motherboard'!D2:D500,"LGA*")</f>
        <v>33</v>
      </c>
    </row>
    <row r="16" spans="1:5" x14ac:dyDescent="0.25">
      <c r="A16" s="21"/>
      <c r="B16" s="21"/>
      <c r="C16" s="21"/>
      <c r="D16" s="19" t="s">
        <v>1438</v>
      </c>
      <c r="E16" s="11">
        <f>COUNTIF('3. Motherboard'!D2:D500,"AM*")</f>
        <v>34</v>
      </c>
    </row>
    <row r="17" spans="1:5" x14ac:dyDescent="0.25">
      <c r="A17" s="14" t="s">
        <v>1440</v>
      </c>
      <c r="B17" s="15" t="s">
        <v>1441</v>
      </c>
      <c r="C17" s="16">
        <f>COUNTA('4. RAM'!B2:B500)</f>
        <v>41</v>
      </c>
      <c r="D17" s="15" t="s">
        <v>94</v>
      </c>
      <c r="E17" s="9">
        <f>COUNTIF('4. RAM'!C2:C500,"DDR4")</f>
        <v>21</v>
      </c>
    </row>
    <row r="18" spans="1:5" x14ac:dyDescent="0.25">
      <c r="A18" s="17"/>
      <c r="B18" s="17"/>
      <c r="C18" s="17"/>
      <c r="D18" s="15" t="s">
        <v>226</v>
      </c>
      <c r="E18" s="9">
        <f>COUNTIF('4. RAM'!C2:C500,"DDR5")</f>
        <v>20</v>
      </c>
    </row>
    <row r="19" spans="1:5" x14ac:dyDescent="0.25">
      <c r="A19" s="18" t="s">
        <v>1450</v>
      </c>
      <c r="B19" s="19" t="s">
        <v>1451</v>
      </c>
      <c r="C19" s="20">
        <f>COUNTA('5. Storage'!B2:B500)</f>
        <v>34</v>
      </c>
      <c r="D19" s="19" t="s">
        <v>600</v>
      </c>
      <c r="E19" s="11">
        <f>COUNTIF('5. Storage'!C2:C500,"NVMe SSD")</f>
        <v>18</v>
      </c>
    </row>
    <row r="20" spans="1:5" x14ac:dyDescent="0.25">
      <c r="A20" s="21"/>
      <c r="B20" s="21"/>
      <c r="C20" s="21"/>
      <c r="D20" s="19" t="s">
        <v>677</v>
      </c>
      <c r="E20" s="11">
        <f>COUNTIF('5. Storage'!C2:C500,"SATA SSD")</f>
        <v>7</v>
      </c>
    </row>
    <row r="21" spans="1:5" ht="15.75" customHeight="1" x14ac:dyDescent="0.25">
      <c r="A21" s="21"/>
      <c r="B21" s="21"/>
      <c r="C21" s="21"/>
      <c r="D21" s="19" t="s">
        <v>1458</v>
      </c>
      <c r="E21" s="11">
        <f>COUNTIF('5. Storage'!C2:C500,"HDD*")</f>
        <v>9</v>
      </c>
    </row>
    <row r="22" spans="1:5" ht="15.75" customHeight="1" x14ac:dyDescent="0.25">
      <c r="A22" s="18" t="s">
        <v>1460</v>
      </c>
      <c r="B22" s="19" t="s">
        <v>1461</v>
      </c>
      <c r="C22" s="20">
        <f>COUNTA('6. PSU'!B2:B500)</f>
        <v>137</v>
      </c>
      <c r="D22" s="19" t="s">
        <v>1462</v>
      </c>
      <c r="E22" s="11">
        <f>COUNTIFS('6. PSU'!C2:C500,"&gt;=500",'6. PSU'!C2:C500,"&lt;600")</f>
        <v>17</v>
      </c>
    </row>
    <row r="23" spans="1:5" ht="15.75" customHeight="1" x14ac:dyDescent="0.25">
      <c r="A23" s="21"/>
      <c r="B23" s="21"/>
      <c r="C23" s="21"/>
      <c r="D23" s="19" t="s">
        <v>1463</v>
      </c>
      <c r="E23" s="11">
        <f>COUNTIFS('6. PSU'!C2:C500,"&gt;=600",'6. PSU'!C2:C500,"&lt;750")</f>
        <v>27</v>
      </c>
    </row>
    <row r="24" spans="1:5" ht="15.75" customHeight="1" x14ac:dyDescent="0.25">
      <c r="A24" s="21"/>
      <c r="B24" s="21"/>
      <c r="C24" s="21"/>
      <c r="D24" s="19" t="s">
        <v>1464</v>
      </c>
      <c r="E24" s="11">
        <f>COUNTIFS('6. PSU'!C2:C500,"&gt;=750",'6. PSU'!C2:C500,"&lt;850")</f>
        <v>32</v>
      </c>
    </row>
    <row r="25" spans="1:5" ht="15.75" customHeight="1" x14ac:dyDescent="0.25">
      <c r="A25" s="21"/>
      <c r="B25" s="21"/>
      <c r="C25" s="21"/>
      <c r="D25" s="19" t="s">
        <v>1465</v>
      </c>
      <c r="E25" s="11">
        <f>COUNTIFS('6. PSU'!C2:C500,"&gt;=850",'6. PSU'!C2:C500,"&lt;1000")</f>
        <v>31</v>
      </c>
    </row>
    <row r="26" spans="1:5" ht="15.75" customHeight="1" x14ac:dyDescent="0.25">
      <c r="A26" s="21"/>
      <c r="B26" s="21"/>
      <c r="C26" s="21"/>
      <c r="D26" s="19" t="s">
        <v>1466</v>
      </c>
      <c r="E26" s="11">
        <f>COUNTIF('6. PSU'!C2:C500,1000)</f>
        <v>30</v>
      </c>
    </row>
    <row r="27" spans="1:5" ht="15.75" customHeight="1" x14ac:dyDescent="0.25">
      <c r="A27" s="21"/>
      <c r="B27" s="21"/>
      <c r="C27" s="21"/>
      <c r="D27" s="19" t="s">
        <v>1467</v>
      </c>
      <c r="E27" s="11">
        <f>COUNTA('6. PSU'!B2:B500)-COUNTIF('6. PSU'!D2:D500,"80+ Bronze")</f>
        <v>107</v>
      </c>
    </row>
    <row r="28" spans="1:5" ht="15.75" customHeight="1" x14ac:dyDescent="0.25">
      <c r="A28" s="14" t="s">
        <v>1468</v>
      </c>
      <c r="B28" s="15" t="s">
        <v>1469</v>
      </c>
      <c r="C28" s="16">
        <f>COUNTA('7. Case'!B2:B500)</f>
        <v>66</v>
      </c>
      <c r="D28" s="15" t="s">
        <v>793</v>
      </c>
      <c r="E28" s="9">
        <f>COUNTIF('7. Case'!C2:C500,"Mid Tower*")</f>
        <v>45</v>
      </c>
    </row>
    <row r="29" spans="1:5" ht="15.75" customHeight="1" x14ac:dyDescent="0.25">
      <c r="A29" s="17"/>
      <c r="B29" s="17"/>
      <c r="C29" s="17"/>
      <c r="D29" s="15" t="s">
        <v>1470</v>
      </c>
      <c r="E29" s="9">
        <f>COUNTIF('7. Case'!C2:C500,"*Full Tower*")</f>
        <v>21</v>
      </c>
    </row>
    <row r="30" spans="1:5" ht="15.75" customHeight="1" x14ac:dyDescent="0.25">
      <c r="A30" s="18" t="s">
        <v>1471</v>
      </c>
      <c r="B30" s="19" t="s">
        <v>1472</v>
      </c>
      <c r="C30" s="20">
        <f>COUNTA('8. CPU Cooler'!B2:B500)</f>
        <v>34</v>
      </c>
      <c r="D30" s="19" t="s">
        <v>1473</v>
      </c>
      <c r="E30" s="11">
        <f>COUNTIF('8. CPU Cooler'!C2:C500,"Air*")</f>
        <v>19</v>
      </c>
    </row>
    <row r="31" spans="1:5" ht="15.75" customHeight="1" x14ac:dyDescent="0.25">
      <c r="A31" s="21"/>
      <c r="B31" s="21"/>
      <c r="C31" s="21"/>
      <c r="D31" s="19" t="s">
        <v>1124</v>
      </c>
      <c r="E31" s="11">
        <f>COUNTIF('8. CPU Cooler'!C2:C500,"AIO*")</f>
        <v>15</v>
      </c>
    </row>
    <row r="32" spans="1:5" ht="15.75" customHeight="1" x14ac:dyDescent="0.25"/>
    <row r="33" spans="2:3" ht="15.75" customHeight="1" x14ac:dyDescent="0.25">
      <c r="B33" s="22" t="s">
        <v>1474</v>
      </c>
      <c r="C33" s="23">
        <f>SUM(C5:C31)</f>
        <v>624</v>
      </c>
    </row>
    <row r="34" spans="2:3" ht="15.75" customHeight="1" x14ac:dyDescent="0.25"/>
    <row r="35" spans="2:3" ht="15.75" customHeight="1" x14ac:dyDescent="0.25"/>
    <row r="36" spans="2:3" ht="15.75" customHeight="1" x14ac:dyDescent="0.25"/>
    <row r="37" spans="2:3" ht="15.75" customHeight="1" x14ac:dyDescent="0.25"/>
    <row r="38" spans="2:3" ht="15.75" customHeight="1" x14ac:dyDescent="0.25"/>
    <row r="39" spans="2:3" ht="15.75" customHeight="1" x14ac:dyDescent="0.25"/>
    <row r="40" spans="2:3" ht="15.75" customHeight="1" x14ac:dyDescent="0.25"/>
    <row r="41" spans="2:3" ht="15.75" customHeight="1" x14ac:dyDescent="0.25"/>
    <row r="42" spans="2:3" ht="15.75" customHeight="1" x14ac:dyDescent="0.25"/>
    <row r="43" spans="2:3" ht="15.75" customHeight="1" x14ac:dyDescent="0.25"/>
    <row r="44" spans="2:3" ht="15.75" customHeight="1" x14ac:dyDescent="0.25"/>
    <row r="45" spans="2:3" ht="15.75" customHeight="1" x14ac:dyDescent="0.25"/>
    <row r="46" spans="2:3" ht="15.75" customHeight="1" x14ac:dyDescent="0.25"/>
    <row r="47" spans="2:3" ht="15.75" customHeight="1" x14ac:dyDescent="0.25"/>
    <row r="48" spans="2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1. CPU</vt:lpstr>
      <vt:lpstr>2. GPU</vt:lpstr>
      <vt:lpstr>3. Motherboard</vt:lpstr>
      <vt:lpstr>4. RAM</vt:lpstr>
      <vt:lpstr>5. Storage</vt:lpstr>
      <vt:lpstr>6. PSU</vt:lpstr>
      <vt:lpstr>7. Case</vt:lpstr>
      <vt:lpstr>8. CPU Cooler</vt:lpstr>
      <vt:lpstr>9.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Mugiwara</cp:lastModifiedBy>
  <dcterms:modified xsi:type="dcterms:W3CDTF">2026-08-26T13:54:34Z</dcterms:modified>
</cp:coreProperties>
</file>